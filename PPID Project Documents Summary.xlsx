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6815" windowHeight="7020"/>
  </bookViews>
  <sheets>
    <sheet name="PPID Project" sheetId="1" r:id="rId1"/>
    <sheet name="Sheet1" sheetId="3" state="hidden" r:id="rId2"/>
    <sheet name="Sheet2" sheetId="2" state="hidden" r:id="rId3"/>
  </sheets>
  <externalReferences>
    <externalReference r:id="rId4"/>
    <externalReference r:id="rId5"/>
    <externalReference r:id="rId6"/>
    <externalReference r:id="rId7"/>
    <externalReference r:id="rId8"/>
    <externalReference r:id="rId9"/>
  </externalReferenc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86" i="1" l="1"/>
  <c r="T296" i="1"/>
  <c r="T324" i="1"/>
  <c r="T323" i="1"/>
  <c r="T322" i="1"/>
  <c r="T319" i="1"/>
  <c r="T278" i="1"/>
  <c r="T267" i="1"/>
  <c r="T260" i="1"/>
  <c r="T257" i="1"/>
  <c r="T252" i="1"/>
  <c r="T205" i="1"/>
  <c r="T204" i="1"/>
  <c r="T197" i="1"/>
  <c r="T195" i="1"/>
  <c r="T189" i="1"/>
  <c r="T187" i="1"/>
  <c r="T186" i="1"/>
  <c r="T184" i="1"/>
  <c r="T181" i="1"/>
  <c r="T180" i="1"/>
  <c r="T169" i="1"/>
  <c r="T167" i="1"/>
  <c r="T165" i="1"/>
  <c r="T163" i="1"/>
  <c r="T162" i="1"/>
  <c r="T160" i="1"/>
  <c r="T159" i="1"/>
  <c r="T157" i="1"/>
  <c r="T155" i="1"/>
  <c r="T154" i="1"/>
  <c r="T153" i="1"/>
  <c r="T152" i="1"/>
  <c r="T151" i="1"/>
  <c r="T150" i="1"/>
  <c r="T146" i="1"/>
  <c r="T145" i="1"/>
  <c r="T141" i="1"/>
  <c r="T139" i="1"/>
  <c r="T138" i="1"/>
  <c r="T137" i="1"/>
  <c r="T136" i="1"/>
  <c r="T133" i="1"/>
  <c r="T132" i="1"/>
  <c r="T131" i="1"/>
  <c r="T130" i="1"/>
  <c r="T128" i="1"/>
  <c r="T127" i="1"/>
  <c r="T126" i="1"/>
  <c r="T125" i="1"/>
  <c r="T124" i="1"/>
  <c r="T123" i="1"/>
  <c r="T122" i="1"/>
  <c r="T121" i="1"/>
  <c r="T120" i="1"/>
  <c r="T119" i="1"/>
  <c r="T118" i="1"/>
  <c r="T115" i="1"/>
  <c r="T114" i="1"/>
  <c r="T113" i="1"/>
  <c r="T112" i="1"/>
  <c r="T111" i="1"/>
  <c r="T109" i="1"/>
  <c r="T108" i="1"/>
  <c r="T107" i="1"/>
  <c r="T106" i="1"/>
  <c r="T105" i="1"/>
  <c r="T103" i="1"/>
  <c r="T100" i="1"/>
  <c r="T99" i="1"/>
  <c r="T98" i="1"/>
  <c r="T97" i="1"/>
  <c r="T96" i="1"/>
  <c r="T95" i="1"/>
  <c r="T94" i="1"/>
  <c r="T93" i="1"/>
  <c r="T92" i="1"/>
  <c r="T91" i="1"/>
  <c r="T90" i="1"/>
  <c r="T89" i="1"/>
  <c r="T88" i="1"/>
  <c r="T87" i="1"/>
  <c r="T86" i="1"/>
  <c r="T85" i="1"/>
  <c r="T83" i="1"/>
  <c r="T82" i="1"/>
  <c r="T81" i="1"/>
  <c r="T80" i="1"/>
  <c r="T79" i="1"/>
  <c r="T78" i="1"/>
  <c r="T77" i="1"/>
  <c r="T76" i="1"/>
  <c r="T75" i="1"/>
  <c r="T74" i="1"/>
  <c r="T73" i="1"/>
  <c r="T72" i="1"/>
  <c r="T71" i="1"/>
  <c r="T70" i="1"/>
  <c r="T68" i="1"/>
  <c r="T67" i="1"/>
  <c r="T65" i="1"/>
  <c r="T64" i="1"/>
  <c r="T63" i="1"/>
  <c r="T60" i="1"/>
  <c r="T59" i="1"/>
  <c r="T58" i="1"/>
  <c r="T57" i="1"/>
  <c r="T56" i="1"/>
  <c r="T55" i="1"/>
  <c r="T54" i="1"/>
  <c r="T53" i="1"/>
  <c r="T52" i="1"/>
  <c r="T50" i="1"/>
  <c r="T49" i="1"/>
  <c r="T48" i="1"/>
  <c r="T47" i="1"/>
  <c r="T46"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1" i="1"/>
  <c r="T8" i="1"/>
  <c r="T6" i="1"/>
  <c r="T5" i="1"/>
  <c r="T4" i="1"/>
  <c r="T3" i="1"/>
  <c r="T2" i="1"/>
  <c r="N6" i="1"/>
  <c r="N5" i="1"/>
  <c r="N4" i="1"/>
  <c r="N3" i="1"/>
  <c r="N2" i="1"/>
  <c r="N8" i="1"/>
  <c r="N11"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50" i="1"/>
  <c r="N49" i="1"/>
  <c r="N48" i="1"/>
  <c r="N47" i="1"/>
  <c r="N46" i="1"/>
  <c r="N60" i="1"/>
  <c r="N59" i="1"/>
  <c r="N58" i="1"/>
  <c r="N57" i="1"/>
  <c r="N56" i="1"/>
  <c r="N55" i="1"/>
  <c r="N54" i="1"/>
  <c r="N53" i="1"/>
  <c r="N52" i="1"/>
  <c r="N65" i="1"/>
  <c r="N64" i="1"/>
  <c r="N63" i="1"/>
  <c r="N68" i="1"/>
  <c r="N67" i="1"/>
  <c r="N83" i="1"/>
  <c r="N82" i="1"/>
  <c r="N81" i="1"/>
  <c r="N80" i="1"/>
  <c r="N79" i="1"/>
  <c r="N78" i="1"/>
  <c r="N77" i="1"/>
  <c r="N76" i="1"/>
  <c r="N75" i="1"/>
  <c r="N74" i="1"/>
  <c r="N73" i="1"/>
  <c r="N72" i="1"/>
  <c r="N71" i="1"/>
  <c r="N70" i="1"/>
  <c r="N100" i="1"/>
  <c r="N99" i="1"/>
  <c r="N98" i="1"/>
  <c r="N97" i="1"/>
  <c r="N96" i="1"/>
  <c r="N95" i="1"/>
  <c r="N94" i="1"/>
  <c r="N93" i="1"/>
  <c r="N92" i="1"/>
  <c r="N91" i="1"/>
  <c r="N90" i="1"/>
  <c r="N89" i="1"/>
  <c r="N88" i="1"/>
  <c r="N87" i="1"/>
  <c r="N86" i="1"/>
  <c r="N85" i="1"/>
  <c r="N103" i="1"/>
  <c r="N109" i="1"/>
  <c r="N108" i="1"/>
  <c r="N107" i="1"/>
  <c r="N106" i="1"/>
  <c r="N105" i="1"/>
  <c r="N115" i="1"/>
  <c r="N114" i="1"/>
  <c r="N113" i="1"/>
  <c r="N112" i="1"/>
  <c r="N111" i="1"/>
  <c r="N128" i="1"/>
  <c r="N127" i="1"/>
  <c r="N126" i="1"/>
  <c r="N125" i="1"/>
  <c r="N124" i="1"/>
  <c r="N123" i="1"/>
  <c r="N122" i="1"/>
  <c r="N121" i="1"/>
  <c r="N120" i="1"/>
  <c r="N119" i="1"/>
  <c r="N118" i="1"/>
  <c r="N133" i="1"/>
  <c r="N132" i="1"/>
  <c r="N131" i="1"/>
  <c r="N130" i="1"/>
  <c r="N139" i="1"/>
  <c r="N138" i="1"/>
  <c r="N137" i="1"/>
  <c r="N136" i="1"/>
  <c r="N141" i="1"/>
  <c r="N146" i="1"/>
  <c r="N145" i="1"/>
  <c r="N155" i="1"/>
  <c r="N154" i="1"/>
  <c r="N153" i="1"/>
  <c r="N152" i="1"/>
  <c r="N151" i="1"/>
  <c r="N150" i="1"/>
  <c r="N157" i="1"/>
  <c r="N160" i="1"/>
  <c r="N159" i="1"/>
  <c r="N163" i="1"/>
  <c r="N162" i="1"/>
  <c r="N165" i="1"/>
  <c r="N167" i="1"/>
  <c r="N169" i="1"/>
  <c r="N181" i="1"/>
  <c r="N180" i="1"/>
  <c r="N184" i="1"/>
  <c r="N187" i="1"/>
  <c r="N186" i="1"/>
  <c r="N189" i="1"/>
  <c r="N195" i="1"/>
  <c r="N197" i="1"/>
  <c r="N205" i="1"/>
  <c r="N204" i="1"/>
  <c r="N257" i="1"/>
  <c r="N260" i="1"/>
  <c r="N286" i="1"/>
  <c r="N296" i="1"/>
  <c r="N324" i="1"/>
  <c r="N325" i="1"/>
  <c r="K301" i="1"/>
  <c r="K2" i="1"/>
  <c r="K4" i="1"/>
  <c r="K6" i="1"/>
  <c r="K8" i="1"/>
  <c r="K18" i="1"/>
  <c r="K17" i="1"/>
  <c r="K16" i="1"/>
  <c r="K15" i="1"/>
  <c r="K14" i="1"/>
  <c r="K13" i="1"/>
  <c r="K12" i="1"/>
  <c r="K11" i="1"/>
  <c r="K10" i="1"/>
  <c r="K21" i="1"/>
  <c r="K20" i="1"/>
  <c r="K28" i="1"/>
  <c r="K27" i="1"/>
  <c r="K26" i="1"/>
  <c r="K25" i="1"/>
  <c r="K24" i="1"/>
  <c r="K23" i="1"/>
  <c r="K46" i="1"/>
  <c r="K45" i="1"/>
  <c r="K44" i="1"/>
  <c r="K43" i="1"/>
  <c r="K42" i="1"/>
  <c r="K41" i="1"/>
  <c r="K40" i="1"/>
  <c r="K39" i="1"/>
  <c r="K38" i="1"/>
  <c r="K37" i="1"/>
  <c r="K36" i="1"/>
  <c r="K35" i="1"/>
  <c r="K34" i="1"/>
  <c r="K50" i="1"/>
  <c r="K49" i="1"/>
  <c r="K55" i="1"/>
  <c r="K54" i="1"/>
  <c r="K53" i="1"/>
  <c r="K52" i="1"/>
  <c r="K60" i="1"/>
  <c r="K59" i="1"/>
  <c r="K58" i="1"/>
  <c r="K57" i="1"/>
  <c r="K65" i="1"/>
  <c r="K64" i="1"/>
  <c r="K63" i="1"/>
  <c r="K62" i="1"/>
  <c r="K76" i="1"/>
  <c r="K75" i="1"/>
  <c r="K74" i="1"/>
  <c r="K73" i="1"/>
  <c r="K72" i="1"/>
  <c r="K71" i="1"/>
  <c r="K70" i="1"/>
  <c r="K87" i="1"/>
  <c r="K86" i="1"/>
  <c r="K85" i="1"/>
  <c r="K84" i="1"/>
  <c r="K83" i="1"/>
  <c r="K82" i="1"/>
  <c r="K81" i="1"/>
  <c r="K80" i="1"/>
  <c r="K79" i="1"/>
  <c r="K92" i="1"/>
  <c r="K91" i="1"/>
  <c r="K90" i="1"/>
  <c r="K89" i="1"/>
  <c r="K97" i="1"/>
  <c r="K96" i="1"/>
  <c r="K95" i="1"/>
  <c r="K100" i="1"/>
  <c r="K110" i="1"/>
  <c r="K109" i="1"/>
  <c r="K108" i="1"/>
  <c r="K107" i="1"/>
  <c r="K106" i="1"/>
  <c r="K105" i="1"/>
  <c r="K104" i="1"/>
  <c r="K103" i="1"/>
  <c r="K102" i="1"/>
  <c r="K119" i="1"/>
  <c r="K118" i="1"/>
  <c r="K117" i="1"/>
  <c r="K116" i="1"/>
  <c r="K115" i="1"/>
  <c r="K114" i="1"/>
  <c r="K113" i="1"/>
  <c r="K112" i="1"/>
  <c r="K122" i="1"/>
  <c r="K121" i="1"/>
  <c r="K128" i="1"/>
  <c r="K127" i="1"/>
  <c r="K126" i="1"/>
  <c r="K131" i="1"/>
  <c r="K130" i="1"/>
  <c r="K133" i="1"/>
  <c r="K136" i="1"/>
  <c r="K135" i="1"/>
  <c r="K145" i="1"/>
  <c r="K144" i="1"/>
  <c r="K147" i="1"/>
  <c r="K149" i="1"/>
  <c r="K154" i="1"/>
  <c r="K153" i="1"/>
  <c r="K152" i="1"/>
  <c r="K157" i="1"/>
  <c r="K156" i="1"/>
  <c r="K160" i="1"/>
  <c r="K159" i="1"/>
  <c r="K165" i="1"/>
  <c r="K164" i="1"/>
  <c r="K167" i="1"/>
  <c r="K170" i="1"/>
  <c r="K169" i="1"/>
  <c r="K172" i="1"/>
  <c r="K178" i="1"/>
  <c r="K180" i="1"/>
  <c r="K190" i="1"/>
  <c r="K189" i="1"/>
  <c r="K196" i="1"/>
  <c r="K206" i="1"/>
  <c r="K205" i="1"/>
  <c r="K204" i="1"/>
  <c r="K203" i="1"/>
  <c r="K214" i="1"/>
  <c r="K218" i="1"/>
  <c r="K223" i="1"/>
  <c r="K225" i="1"/>
  <c r="K228" i="1"/>
  <c r="K232" i="1"/>
  <c r="K231" i="1"/>
  <c r="K230" i="1"/>
  <c r="K236" i="1"/>
  <c r="K235" i="1"/>
  <c r="K238" i="1"/>
  <c r="K249" i="1"/>
  <c r="K248" i="1"/>
  <c r="K247" i="1"/>
  <c r="K246" i="1"/>
  <c r="K252" i="1"/>
  <c r="K254" i="1"/>
  <c r="K273" i="1"/>
  <c r="K275" i="1"/>
  <c r="K281" i="1"/>
  <c r="K286" i="1"/>
  <c r="K305" i="1"/>
  <c r="K317" i="1"/>
  <c r="J2" i="1"/>
  <c r="J3" i="1"/>
  <c r="J4" i="1"/>
  <c r="J5" i="1"/>
  <c r="J6" i="1"/>
  <c r="J8" i="1"/>
  <c r="J11"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6" i="1"/>
  <c r="J47" i="1"/>
  <c r="J48" i="1"/>
  <c r="J49" i="1"/>
  <c r="J50" i="1"/>
  <c r="J52" i="1"/>
  <c r="J53" i="1"/>
  <c r="J54" i="1"/>
  <c r="J55" i="1"/>
  <c r="J56" i="1"/>
  <c r="J57" i="1"/>
  <c r="J58" i="1"/>
  <c r="J59" i="1"/>
  <c r="J60" i="1"/>
  <c r="J63" i="1"/>
  <c r="J64" i="1"/>
  <c r="J65" i="1"/>
  <c r="J67" i="1"/>
  <c r="J68" i="1"/>
  <c r="J70" i="1"/>
  <c r="J71" i="1"/>
  <c r="J72" i="1"/>
  <c r="J73" i="1"/>
  <c r="J74" i="1"/>
  <c r="J75" i="1"/>
  <c r="J76" i="1"/>
  <c r="J77" i="1"/>
  <c r="J78" i="1"/>
  <c r="J79" i="1"/>
  <c r="J80" i="1"/>
  <c r="J81" i="1"/>
  <c r="J82" i="1"/>
  <c r="J83" i="1"/>
  <c r="J85" i="1"/>
  <c r="J86" i="1"/>
  <c r="J87" i="1"/>
  <c r="J88" i="1"/>
  <c r="J89" i="1"/>
  <c r="J90" i="1"/>
  <c r="J91" i="1"/>
  <c r="J92" i="1"/>
  <c r="J93" i="1"/>
  <c r="J94" i="1"/>
  <c r="J95" i="1"/>
  <c r="J96" i="1"/>
  <c r="J97" i="1"/>
  <c r="J98" i="1"/>
  <c r="J99" i="1"/>
  <c r="J100" i="1"/>
  <c r="J101" i="1"/>
  <c r="J103" i="1"/>
  <c r="J105" i="1"/>
  <c r="J106" i="1"/>
  <c r="J107" i="1"/>
  <c r="J108" i="1"/>
  <c r="J109" i="1"/>
  <c r="J110" i="1"/>
  <c r="J111" i="1"/>
  <c r="J112" i="1"/>
  <c r="J113" i="1"/>
  <c r="J114" i="1"/>
  <c r="J115" i="1"/>
  <c r="J118" i="1"/>
  <c r="J119" i="1"/>
  <c r="J120" i="1"/>
  <c r="J121" i="1"/>
  <c r="J122" i="1"/>
  <c r="J123" i="1"/>
  <c r="J124" i="1"/>
  <c r="J125" i="1"/>
  <c r="J126" i="1"/>
  <c r="J127" i="1"/>
  <c r="J128" i="1"/>
  <c r="J131" i="1"/>
  <c r="J132" i="1"/>
  <c r="J133" i="1"/>
  <c r="J135" i="1"/>
  <c r="J136" i="1"/>
  <c r="J137" i="1"/>
  <c r="J138" i="1"/>
  <c r="J139" i="1"/>
  <c r="J141" i="1"/>
  <c r="J142" i="1"/>
  <c r="J143" i="1"/>
  <c r="J145" i="1"/>
  <c r="J146" i="1"/>
  <c r="J148" i="1"/>
  <c r="J150" i="1"/>
  <c r="J151" i="1"/>
  <c r="J152" i="1"/>
  <c r="J153" i="1"/>
  <c r="J154" i="1"/>
  <c r="J155" i="1"/>
  <c r="J156" i="1"/>
  <c r="J157" i="1"/>
  <c r="J158" i="1"/>
  <c r="J159" i="1"/>
  <c r="J160" i="1"/>
  <c r="J161" i="1"/>
  <c r="J162" i="1"/>
  <c r="J163" i="1"/>
  <c r="J165" i="1"/>
  <c r="J166" i="1"/>
  <c r="J167" i="1"/>
  <c r="J168" i="1"/>
  <c r="J169" i="1"/>
  <c r="J171" i="1"/>
  <c r="J174" i="1"/>
  <c r="J178" i="1"/>
  <c r="J180" i="1"/>
  <c r="J181" i="1"/>
  <c r="J183" i="1"/>
  <c r="J184" i="1"/>
  <c r="J186" i="1"/>
  <c r="J187" i="1"/>
  <c r="J189" i="1"/>
  <c r="J190" i="1"/>
  <c r="J191" i="1"/>
  <c r="J192" i="1"/>
  <c r="J195" i="1"/>
  <c r="J196" i="1"/>
  <c r="J197" i="1"/>
  <c r="J198" i="1"/>
  <c r="J199" i="1"/>
  <c r="J201" i="1"/>
  <c r="J205" i="1"/>
  <c r="J211" i="1"/>
  <c r="J213" i="1"/>
  <c r="J214" i="1"/>
  <c r="J218" i="1"/>
  <c r="J221" i="1"/>
  <c r="J223" i="1"/>
  <c r="J225" i="1"/>
  <c r="J227" i="1"/>
  <c r="J228" i="1"/>
  <c r="J229" i="1"/>
  <c r="J231" i="1"/>
  <c r="J232" i="1"/>
  <c r="J234" i="1"/>
  <c r="J238" i="1"/>
  <c r="J240" i="1"/>
  <c r="J242" i="1"/>
  <c r="J245" i="1"/>
  <c r="J249" i="1"/>
  <c r="J251" i="1"/>
  <c r="J254" i="1"/>
  <c r="J255" i="1"/>
  <c r="J256" i="1"/>
  <c r="J258" i="1"/>
  <c r="J259" i="1"/>
  <c r="J260" i="1"/>
  <c r="J261" i="1"/>
  <c r="J263" i="1"/>
  <c r="J264" i="1"/>
  <c r="J265" i="1"/>
  <c r="J266" i="1"/>
  <c r="J268" i="1"/>
  <c r="J269" i="1"/>
  <c r="J271" i="1"/>
  <c r="J272" i="1"/>
  <c r="J273" i="1"/>
  <c r="J274" i="1"/>
  <c r="J276" i="1"/>
  <c r="J278" i="1"/>
  <c r="J284" i="1"/>
  <c r="J291" i="1"/>
  <c r="J293" i="1"/>
  <c r="J296" i="1"/>
  <c r="J300" i="1"/>
  <c r="J310" i="1"/>
  <c r="J311" i="1"/>
  <c r="J312" i="1"/>
  <c r="J313" i="1"/>
  <c r="G198"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206" i="1"/>
  <c r="G207" i="1"/>
  <c r="G205" i="1"/>
  <c r="G202" i="1"/>
  <c r="G203" i="1"/>
  <c r="G204" i="1"/>
  <c r="G199" i="1"/>
  <c r="G200" i="1"/>
  <c r="G201" i="1"/>
  <c r="G192" i="1" l="1"/>
  <c r="G191" i="1"/>
  <c r="G190" i="1"/>
  <c r="G188" i="1"/>
  <c r="G185" i="1"/>
  <c r="G183" i="1"/>
  <c r="G176" i="1"/>
  <c r="G173" i="1"/>
  <c r="G171" i="1"/>
  <c r="G170" i="1"/>
  <c r="G166" i="1"/>
  <c r="G161" i="1"/>
  <c r="G158" i="1"/>
  <c r="G156" i="1"/>
  <c r="G148" i="1"/>
  <c r="G135" i="1"/>
  <c r="G134" i="1"/>
  <c r="G129" i="1"/>
  <c r="G110" i="1"/>
  <c r="G104" i="1"/>
  <c r="G102" i="1"/>
  <c r="G101" i="1"/>
  <c r="G90" i="1"/>
  <c r="G87" i="1"/>
  <c r="G69" i="1"/>
  <c r="G66" i="1"/>
  <c r="G62" i="1"/>
  <c r="G61" i="1"/>
  <c r="G45" i="1"/>
  <c r="G15" i="1"/>
  <c r="G14" i="1"/>
  <c r="G7" i="1"/>
  <c r="H7" i="1"/>
  <c r="H14" i="1"/>
  <c r="H15" i="1"/>
  <c r="H45" i="1"/>
  <c r="H61" i="1"/>
  <c r="H62" i="1"/>
  <c r="H66" i="1"/>
  <c r="H69" i="1"/>
  <c r="H87" i="1"/>
  <c r="H101" i="1"/>
  <c r="H102" i="1"/>
  <c r="H104" i="1"/>
  <c r="H110" i="1"/>
  <c r="H129" i="1"/>
  <c r="H134" i="1"/>
  <c r="H135" i="1"/>
  <c r="H148" i="1"/>
  <c r="H156" i="1"/>
  <c r="L312" i="1" l="1"/>
  <c r="L309" i="1"/>
  <c r="L308" i="1"/>
  <c r="L307" i="1"/>
  <c r="L306" i="1"/>
  <c r="N295" i="1" l="1"/>
  <c r="H9" i="1" l="1"/>
  <c r="H10" i="1"/>
  <c r="H12" i="1"/>
  <c r="H13" i="1"/>
  <c r="H51" i="1"/>
  <c r="H84" i="1"/>
  <c r="H116" i="1"/>
  <c r="H117" i="1"/>
  <c r="H140" i="1"/>
  <c r="H142" i="1"/>
  <c r="H143" i="1"/>
  <c r="H144" i="1"/>
  <c r="H147" i="1"/>
  <c r="P317" i="1" l="1"/>
  <c r="P304" i="1"/>
  <c r="P303" i="1"/>
  <c r="P301" i="1"/>
  <c r="P299" i="1"/>
  <c r="P298" i="1"/>
  <c r="P297" i="1"/>
  <c r="P295" i="1"/>
  <c r="P294" i="1"/>
  <c r="P293" i="1"/>
  <c r="L294" i="1"/>
  <c r="L290" i="1"/>
  <c r="L289" i="1"/>
  <c r="L288" i="1"/>
  <c r="H320" i="2" l="1"/>
  <c r="G320" i="2"/>
  <c r="D320" i="2"/>
  <c r="H319" i="2"/>
  <c r="G319" i="2"/>
  <c r="E319" i="2"/>
  <c r="G318" i="2"/>
  <c r="D318" i="2"/>
  <c r="H317" i="2"/>
  <c r="G317" i="2"/>
  <c r="E317" i="2"/>
  <c r="H316" i="2"/>
  <c r="G316" i="2"/>
  <c r="D316" i="2"/>
  <c r="H315" i="2"/>
  <c r="G315" i="2"/>
  <c r="D315" i="2"/>
  <c r="H314" i="2"/>
  <c r="G314" i="2"/>
  <c r="D314" i="2"/>
  <c r="H313" i="2"/>
  <c r="G313" i="2"/>
  <c r="D313" i="2"/>
  <c r="H312" i="2"/>
  <c r="G312" i="2"/>
  <c r="D312" i="2"/>
  <c r="H311" i="2"/>
  <c r="G311" i="2"/>
  <c r="D311" i="2"/>
  <c r="G310" i="2"/>
  <c r="D310" i="2"/>
  <c r="H309" i="2"/>
  <c r="G309" i="2"/>
  <c r="H308" i="2"/>
  <c r="G308" i="2"/>
  <c r="H307" i="2"/>
  <c r="G307" i="2"/>
  <c r="H306" i="2"/>
  <c r="G306" i="2"/>
</calcChain>
</file>

<file path=xl/sharedStrings.xml><?xml version="1.0" encoding="utf-8"?>
<sst xmlns="http://schemas.openxmlformats.org/spreadsheetml/2006/main" count="10106" uniqueCount="1589">
  <si>
    <t>Vertical</t>
  </si>
  <si>
    <t>Project Lead</t>
  </si>
  <si>
    <t>Project Name</t>
  </si>
  <si>
    <t>Project Code</t>
  </si>
  <si>
    <t>Sector/Domain</t>
  </si>
  <si>
    <t>Sub-Domain</t>
  </si>
  <si>
    <t>Project Status</t>
  </si>
  <si>
    <t>Project Start Date (DD/MM/YYYY)</t>
  </si>
  <si>
    <t>Project End Date (DD/MM/YYYY)</t>
  </si>
  <si>
    <t>Revised End Date (DD/MM/YYYY)</t>
  </si>
  <si>
    <t>Project Brief/Objective</t>
  </si>
  <si>
    <t>Nature of Project (TPA/TPE/TPI/TPQA/PMU/PMC/Capacity Building/Impact Assessment)</t>
  </si>
  <si>
    <t>Outcomes achieved/Impact created</t>
  </si>
  <si>
    <t>SPOC</t>
  </si>
  <si>
    <t>Proposal</t>
  </si>
  <si>
    <t>Project Charter</t>
  </si>
  <si>
    <t>Financial Charter</t>
  </si>
  <si>
    <t>Bid Filing Documents</t>
  </si>
  <si>
    <t>Work Order</t>
  </si>
  <si>
    <t>Award Type</t>
  </si>
  <si>
    <t>Work Order Extension</t>
  </si>
  <si>
    <t>Completion Certificate</t>
  </si>
  <si>
    <t>Invoices</t>
  </si>
  <si>
    <t>S. No.</t>
  </si>
  <si>
    <t>Project Code Generation Requisition Form</t>
  </si>
  <si>
    <t>Revised Financial Charter</t>
  </si>
  <si>
    <t>Final Report</t>
  </si>
  <si>
    <t>NOC from Finance Department</t>
  </si>
  <si>
    <t>Project Closure Report</t>
  </si>
  <si>
    <t>Geographical Coverage</t>
  </si>
  <si>
    <t>Internal Stakeholders</t>
  </si>
  <si>
    <t>External Stakeholders</t>
  </si>
  <si>
    <t>PB00001</t>
  </si>
  <si>
    <t>PB00002</t>
  </si>
  <si>
    <t>PB00003</t>
  </si>
  <si>
    <t>PB00004</t>
  </si>
  <si>
    <t>PB00011</t>
  </si>
  <si>
    <t>PB00012</t>
  </si>
  <si>
    <t>PB00013</t>
  </si>
  <si>
    <t>PB00014</t>
  </si>
  <si>
    <t>PB00015</t>
  </si>
  <si>
    <t>PB00016</t>
  </si>
  <si>
    <t>PB00017</t>
  </si>
  <si>
    <t>PB00018</t>
  </si>
  <si>
    <t>PB00019</t>
  </si>
  <si>
    <t>PP00001</t>
  </si>
  <si>
    <t>PP00002</t>
  </si>
  <si>
    <t>PP00003</t>
  </si>
  <si>
    <t>PP00004</t>
  </si>
  <si>
    <t>PP00005</t>
  </si>
  <si>
    <t>PP00006</t>
  </si>
  <si>
    <t>PP00007</t>
  </si>
  <si>
    <t>PP00008</t>
  </si>
  <si>
    <t>PP00009</t>
  </si>
  <si>
    <t>PP00010</t>
  </si>
  <si>
    <t>PP00011</t>
  </si>
  <si>
    <t>PP00012</t>
  </si>
  <si>
    <t>PP00013</t>
  </si>
  <si>
    <t>PP00014</t>
  </si>
  <si>
    <t>PP00015</t>
  </si>
  <si>
    <t>PP00016</t>
  </si>
  <si>
    <t>PP00017</t>
  </si>
  <si>
    <t>PP00018</t>
  </si>
  <si>
    <t>PP00019</t>
  </si>
  <si>
    <t>PP00020</t>
  </si>
  <si>
    <t>PP00021</t>
  </si>
  <si>
    <t>PP00022</t>
  </si>
  <si>
    <t>PP00023</t>
  </si>
  <si>
    <t>PP00024</t>
  </si>
  <si>
    <t>PP00025</t>
  </si>
  <si>
    <t>PP00026</t>
  </si>
  <si>
    <t>PP00027</t>
  </si>
  <si>
    <t>PP00028</t>
  </si>
  <si>
    <t>PP00029</t>
  </si>
  <si>
    <t>PP00030</t>
  </si>
  <si>
    <t>PP00031</t>
  </si>
  <si>
    <t>PP00032</t>
  </si>
  <si>
    <t>PP00033</t>
  </si>
  <si>
    <t>PP00034</t>
  </si>
  <si>
    <t>PP00035</t>
  </si>
  <si>
    <t>PP00036</t>
  </si>
  <si>
    <t>PP00037</t>
  </si>
  <si>
    <t>PP00038</t>
  </si>
  <si>
    <t>PP00039</t>
  </si>
  <si>
    <t>PP00040</t>
  </si>
  <si>
    <t>PP00041</t>
  </si>
  <si>
    <t>PP00042</t>
  </si>
  <si>
    <t>PP00043</t>
  </si>
  <si>
    <t>PP00044</t>
  </si>
  <si>
    <t>PP00045</t>
  </si>
  <si>
    <t>PP00046</t>
  </si>
  <si>
    <t>PP00047</t>
  </si>
  <si>
    <t>PP00048</t>
  </si>
  <si>
    <t>PP00049</t>
  </si>
  <si>
    <t>PP00050</t>
  </si>
  <si>
    <t>PP00051</t>
  </si>
  <si>
    <t>PP00052</t>
  </si>
  <si>
    <t>PP00053</t>
  </si>
  <si>
    <t>PP00054</t>
  </si>
  <si>
    <t>PP00055</t>
  </si>
  <si>
    <t>PP00056</t>
  </si>
  <si>
    <t>PP00057</t>
  </si>
  <si>
    <t>PP00058</t>
  </si>
  <si>
    <t>PP00059</t>
  </si>
  <si>
    <t>PP00060</t>
  </si>
  <si>
    <t>PP00061</t>
  </si>
  <si>
    <t>PP00062</t>
  </si>
  <si>
    <t>PP00063</t>
  </si>
  <si>
    <t>PP00064</t>
  </si>
  <si>
    <t>PP00065</t>
  </si>
  <si>
    <t>PP00066</t>
  </si>
  <si>
    <t>PP00067</t>
  </si>
  <si>
    <t>PP00068</t>
  </si>
  <si>
    <t>PP00069</t>
  </si>
  <si>
    <t>PP00070</t>
  </si>
  <si>
    <t>PP00071</t>
  </si>
  <si>
    <t>PP00072</t>
  </si>
  <si>
    <t>PP00073</t>
  </si>
  <si>
    <t>PP00074</t>
  </si>
  <si>
    <t>PP00075/ PB00006</t>
  </si>
  <si>
    <t>PP00076</t>
  </si>
  <si>
    <t>PP00077</t>
  </si>
  <si>
    <t>PP00078</t>
  </si>
  <si>
    <t>PP00079</t>
  </si>
  <si>
    <t>PP00080</t>
  </si>
  <si>
    <t>PP00081</t>
  </si>
  <si>
    <t>PP00082</t>
  </si>
  <si>
    <t>PP00083</t>
  </si>
  <si>
    <t>PP00084</t>
  </si>
  <si>
    <t>PP00085</t>
  </si>
  <si>
    <t>PP00086</t>
  </si>
  <si>
    <t>PP00087</t>
  </si>
  <si>
    <t>PP00088</t>
  </si>
  <si>
    <t>PP00089</t>
  </si>
  <si>
    <t>PP00090</t>
  </si>
  <si>
    <t>PP00091</t>
  </si>
  <si>
    <t>PP00092</t>
  </si>
  <si>
    <t>PP00093</t>
  </si>
  <si>
    <t>PP00094</t>
  </si>
  <si>
    <t>PP00095</t>
  </si>
  <si>
    <t>PP00096</t>
  </si>
  <si>
    <t>PP00097</t>
  </si>
  <si>
    <t>PP00098</t>
  </si>
  <si>
    <t>PP00099</t>
  </si>
  <si>
    <t>PP00100</t>
  </si>
  <si>
    <t>PP00101</t>
  </si>
  <si>
    <t>PP00102</t>
  </si>
  <si>
    <t>PP00103</t>
  </si>
  <si>
    <t>PP00104</t>
  </si>
  <si>
    <t>PP00105</t>
  </si>
  <si>
    <t>PP00106</t>
  </si>
  <si>
    <t>PP00107</t>
  </si>
  <si>
    <t>PP00108</t>
  </si>
  <si>
    <t>PP00109</t>
  </si>
  <si>
    <t>PP00110</t>
  </si>
  <si>
    <t>PP00111</t>
  </si>
  <si>
    <t>PP00112</t>
  </si>
  <si>
    <t>PP00113</t>
  </si>
  <si>
    <t>PP00114</t>
  </si>
  <si>
    <t>PP00115</t>
  </si>
  <si>
    <t>PP00116</t>
  </si>
  <si>
    <t>PP00117</t>
  </si>
  <si>
    <t>PP00118</t>
  </si>
  <si>
    <t>PP00119</t>
  </si>
  <si>
    <t>PP00120</t>
  </si>
  <si>
    <t>PP00121</t>
  </si>
  <si>
    <t>PP00122</t>
  </si>
  <si>
    <t>PP00123</t>
  </si>
  <si>
    <t>PP00124</t>
  </si>
  <si>
    <t>PP00125</t>
  </si>
  <si>
    <t>PP00126</t>
  </si>
  <si>
    <t>PP00127</t>
  </si>
  <si>
    <t>PP00128</t>
  </si>
  <si>
    <t>PP00129</t>
  </si>
  <si>
    <t>PP00130</t>
  </si>
  <si>
    <t>PP00131</t>
  </si>
  <si>
    <t>PP00132</t>
  </si>
  <si>
    <t>PP00133</t>
  </si>
  <si>
    <t>PP00134</t>
  </si>
  <si>
    <t>PP00135</t>
  </si>
  <si>
    <t>PP00136</t>
  </si>
  <si>
    <t>PP00137</t>
  </si>
  <si>
    <t>PP00138</t>
  </si>
  <si>
    <t>PP00139</t>
  </si>
  <si>
    <t>PP00140</t>
  </si>
  <si>
    <t>PP00141</t>
  </si>
  <si>
    <t>PP00142</t>
  </si>
  <si>
    <t>PP00143</t>
  </si>
  <si>
    <t>PP00144</t>
  </si>
  <si>
    <t>PP00145</t>
  </si>
  <si>
    <t>PP00146</t>
  </si>
  <si>
    <t>PP00147</t>
  </si>
  <si>
    <t>PP00148</t>
  </si>
  <si>
    <t>PP00149</t>
  </si>
  <si>
    <t>PP00150</t>
  </si>
  <si>
    <t>PP00151</t>
  </si>
  <si>
    <t>PP00152</t>
  </si>
  <si>
    <t>PP00153</t>
  </si>
  <si>
    <t>PP00154</t>
  </si>
  <si>
    <t>PP00155</t>
  </si>
  <si>
    <t>PP00156</t>
  </si>
  <si>
    <t>PP00157</t>
  </si>
  <si>
    <t>PP00158</t>
  </si>
  <si>
    <t>PP00159</t>
  </si>
  <si>
    <t>PP00160</t>
  </si>
  <si>
    <t>PP00161</t>
  </si>
  <si>
    <t>PP00162</t>
  </si>
  <si>
    <t>PP00163</t>
  </si>
  <si>
    <t>PP00164</t>
  </si>
  <si>
    <t>PP00165</t>
  </si>
  <si>
    <t>PP00166</t>
  </si>
  <si>
    <t>PP00167</t>
  </si>
  <si>
    <t>PP00168</t>
  </si>
  <si>
    <t>PP00169</t>
  </si>
  <si>
    <t>PP00170</t>
  </si>
  <si>
    <t>PP00171</t>
  </si>
  <si>
    <t>PP00172</t>
  </si>
  <si>
    <t>PP00173</t>
  </si>
  <si>
    <t>PP00174</t>
  </si>
  <si>
    <t>PP00175</t>
  </si>
  <si>
    <t>PP00176</t>
  </si>
  <si>
    <t>PP00177</t>
  </si>
  <si>
    <t>PP00178</t>
  </si>
  <si>
    <t>PP00179</t>
  </si>
  <si>
    <t>PP00180</t>
  </si>
  <si>
    <t>PP00181</t>
  </si>
  <si>
    <t>PP00182</t>
  </si>
  <si>
    <t>PP00183</t>
  </si>
  <si>
    <t>PP00184</t>
  </si>
  <si>
    <t>PP00185</t>
  </si>
  <si>
    <t>PP00186</t>
  </si>
  <si>
    <t>PP00187</t>
  </si>
  <si>
    <t>PP00188</t>
  </si>
  <si>
    <t>PP00189</t>
  </si>
  <si>
    <t>PP00190</t>
  </si>
  <si>
    <t>PP00191</t>
  </si>
  <si>
    <t>PP00192</t>
  </si>
  <si>
    <t>PP00193</t>
  </si>
  <si>
    <t>PP00194</t>
  </si>
  <si>
    <t>PP00195</t>
  </si>
  <si>
    <t>PP00196</t>
  </si>
  <si>
    <t>PP00197</t>
  </si>
  <si>
    <t>PP00198</t>
  </si>
  <si>
    <t>PP00199</t>
  </si>
  <si>
    <t>PP00200</t>
  </si>
  <si>
    <t>PP00201</t>
  </si>
  <si>
    <t>PP00202</t>
  </si>
  <si>
    <t>PP00203</t>
  </si>
  <si>
    <t>PP00204</t>
  </si>
  <si>
    <t>PP00205</t>
  </si>
  <si>
    <t>PP00206</t>
  </si>
  <si>
    <t>PP00207</t>
  </si>
  <si>
    <t>PP00208</t>
  </si>
  <si>
    <t>PP00209</t>
  </si>
  <si>
    <t>PP00210</t>
  </si>
  <si>
    <t>PP00211</t>
  </si>
  <si>
    <t>PP00212</t>
  </si>
  <si>
    <t>PP00213</t>
  </si>
  <si>
    <t>PP00214</t>
  </si>
  <si>
    <t>PP00215</t>
  </si>
  <si>
    <t>PP00216</t>
  </si>
  <si>
    <t>PP00217</t>
  </si>
  <si>
    <t>PP00218</t>
  </si>
  <si>
    <t>PP00219</t>
  </si>
  <si>
    <t>PP00220</t>
  </si>
  <si>
    <t>PP00221</t>
  </si>
  <si>
    <t>PP00222</t>
  </si>
  <si>
    <t>PP00223</t>
  </si>
  <si>
    <t>PP00224</t>
  </si>
  <si>
    <t>PP00225</t>
  </si>
  <si>
    <t>PP00226</t>
  </si>
  <si>
    <t>PP00227</t>
  </si>
  <si>
    <t>PP00228</t>
  </si>
  <si>
    <t>PP00229</t>
  </si>
  <si>
    <t>PP00230</t>
  </si>
  <si>
    <t>PP00231</t>
  </si>
  <si>
    <t>PP00232</t>
  </si>
  <si>
    <t>PP00233</t>
  </si>
  <si>
    <t>PP00234</t>
  </si>
  <si>
    <t>PP00235</t>
  </si>
  <si>
    <t>PP00236</t>
  </si>
  <si>
    <t>PP00237</t>
  </si>
  <si>
    <t>PP00238</t>
  </si>
  <si>
    <t>PP00239</t>
  </si>
  <si>
    <t>PP00240</t>
  </si>
  <si>
    <t>PP00241</t>
  </si>
  <si>
    <t>PP00242</t>
  </si>
  <si>
    <t>PP00243</t>
  </si>
  <si>
    <t>PP00244</t>
  </si>
  <si>
    <t>PP00245</t>
  </si>
  <si>
    <t>PP00246</t>
  </si>
  <si>
    <t>PP00247</t>
  </si>
  <si>
    <t>PP00248</t>
  </si>
  <si>
    <t>PP00249</t>
  </si>
  <si>
    <t>PP00250</t>
  </si>
  <si>
    <t>PP00251</t>
  </si>
  <si>
    <t>PP00252</t>
  </si>
  <si>
    <t>PP00253</t>
  </si>
  <si>
    <t>PP00254</t>
  </si>
  <si>
    <t>PP00255</t>
  </si>
  <si>
    <t>PP00256</t>
  </si>
  <si>
    <t>PP00257</t>
  </si>
  <si>
    <t>PP00258</t>
  </si>
  <si>
    <t>PP00259</t>
  </si>
  <si>
    <t>PP00260</t>
  </si>
  <si>
    <t>PP00261</t>
  </si>
  <si>
    <t>PP00262</t>
  </si>
  <si>
    <t>PP00263</t>
  </si>
  <si>
    <t>PP00265</t>
  </si>
  <si>
    <t>PP00266</t>
  </si>
  <si>
    <t>PP00267</t>
  </si>
  <si>
    <t>PP00268</t>
  </si>
  <si>
    <t>PP00269</t>
  </si>
  <si>
    <t>PP00270</t>
  </si>
  <si>
    <t>PP00271</t>
  </si>
  <si>
    <t>PP00272</t>
  </si>
  <si>
    <t>PP00273</t>
  </si>
  <si>
    <t>PP00274</t>
  </si>
  <si>
    <t>PP00275</t>
  </si>
  <si>
    <t>PP00276</t>
  </si>
  <si>
    <t>PP00277</t>
  </si>
  <si>
    <t>PP00278</t>
  </si>
  <si>
    <t>PP00279</t>
  </si>
  <si>
    <t>PP00280</t>
  </si>
  <si>
    <t>Niti Study</t>
  </si>
  <si>
    <t>Census of Traders</t>
  </si>
  <si>
    <t>E-Commerce Compliance</t>
  </si>
  <si>
    <t>TPI of buses, depots, workshops &amp; stations of UP</t>
  </si>
  <si>
    <t>Sarpanch Samvaad</t>
  </si>
  <si>
    <t>Nashik</t>
  </si>
  <si>
    <t>Trade Surveillance- Leather</t>
  </si>
  <si>
    <t>Quality Assessment of Compressed Bio Gas</t>
  </si>
  <si>
    <t>Dipstick Assessment for receipt of free grains under PMGKAY</t>
  </si>
  <si>
    <t>TPI of residential building under Rajasthan Housing Board</t>
  </si>
  <si>
    <t>SILF</t>
  </si>
  <si>
    <t>Culture_National Library_2024</t>
  </si>
  <si>
    <t>Assessment, Capacity Building &amp; Certification of SST</t>
  </si>
  <si>
    <t>SBM ODF, ODF+, ODF++</t>
  </si>
  <si>
    <t>MoUD - Star Rating</t>
  </si>
  <si>
    <t>TPI of 97 Ganga Towns</t>
  </si>
  <si>
    <t>IDFOI Assessment</t>
  </si>
  <si>
    <t>Swachh RO</t>
  </si>
  <si>
    <t>Madhya Pradesh PIU</t>
  </si>
  <si>
    <t>Gwalior PIU</t>
  </si>
  <si>
    <t>Swastha Pradesh Swachh Pradesh</t>
  </si>
  <si>
    <t>Delhi Toilet Survey</t>
  </si>
  <si>
    <t>Google Toilet Mapping</t>
  </si>
  <si>
    <t>SBM Jharkhand</t>
  </si>
  <si>
    <t>Swachh Rail 2018</t>
  </si>
  <si>
    <t>SBM Telangana</t>
  </si>
  <si>
    <t>SBM Gujarat Yatradham</t>
  </si>
  <si>
    <t>SBM Gujarat Tourism</t>
  </si>
  <si>
    <t>Statue of Unity</t>
  </si>
  <si>
    <t>SBM Rural UP</t>
  </si>
  <si>
    <t>Swachh NDMC</t>
  </si>
  <si>
    <t>ALF Swachhta Award Ranking</t>
  </si>
  <si>
    <t>Power Urban</t>
  </si>
  <si>
    <t>Power Rural 2018</t>
  </si>
  <si>
    <t>MoPNG - PMU</t>
  </si>
  <si>
    <t>DARPG- Citizen's Charter</t>
  </si>
  <si>
    <t>DARPG- eOffice</t>
  </si>
  <si>
    <t>DARPG - Dashboard Extension</t>
  </si>
  <si>
    <t>MoRTH - Highway Rating</t>
  </si>
  <si>
    <t>MoRTH - Awards 2018</t>
  </si>
  <si>
    <t>Tourism Study</t>
  </si>
  <si>
    <t>Airport Authority of India</t>
  </si>
  <si>
    <t>TPA of ALIMCO Kanpur &amp; APCs</t>
  </si>
  <si>
    <t>UP Healthcare</t>
  </si>
  <si>
    <t>Employee State Corp of India (ESIC)</t>
  </si>
  <si>
    <t>Police Crime Victimization</t>
  </si>
  <si>
    <t>Ranking of Police Station - MHA</t>
  </si>
  <si>
    <t>NAFED</t>
  </si>
  <si>
    <t>Government eMarketplace PMU</t>
  </si>
  <si>
    <t>DIPP - Product Analysis</t>
  </si>
  <si>
    <t>NCPCR</t>
  </si>
  <si>
    <t>EDIFY</t>
  </si>
  <si>
    <t>NULM (Hupa Project)</t>
  </si>
  <si>
    <t>MHA Project ( MHA &amp; Profiling Project Expense)</t>
  </si>
  <si>
    <t>RCFL Triveni (RCFL Project Expense)</t>
  </si>
  <si>
    <t>Swachh Ports -2019</t>
  </si>
  <si>
    <t>National Smart Grid Mission (NSGM)</t>
  </si>
  <si>
    <t>National Commission for Scheduled Tribes, Ministry of Tribal Affairs</t>
  </si>
  <si>
    <t>AB PMJAY Quality Certification Scheme</t>
  </si>
  <si>
    <t>DIPAM</t>
  </si>
  <si>
    <t>CPGRAMS</t>
  </si>
  <si>
    <t> SVEP project</t>
  </si>
  <si>
    <t>ODF workshop</t>
  </si>
  <si>
    <t>TPT of Fisheries for Formaldehyde, Govt of Goa- Fish</t>
  </si>
  <si>
    <t>Qualitative and Quantitative Analysis of Coal Supplied to SEMBCORP Energy India Limited (SEMBCORP)</t>
  </si>
  <si>
    <t>Analysis &amp; Research Unit</t>
  </si>
  <si>
    <t>GeM Vendor Assessment</t>
  </si>
  <si>
    <t>Kayakalp project</t>
  </si>
  <si>
    <t>Atal Innovation Mission</t>
  </si>
  <si>
    <t>Swachh Rail-2019</t>
  </si>
  <si>
    <t>MoRTH - Awards 2019</t>
  </si>
  <si>
    <t>Swachh UP(LOBs)</t>
  </si>
  <si>
    <t>Maharashtra toilet survey</t>
  </si>
  <si>
    <t>SWM Haryana Project</t>
  </si>
  <si>
    <t>MHA Profiling Project 2019</t>
  </si>
  <si>
    <t>CAG Project</t>
  </si>
  <si>
    <t>Toy Testing Project</t>
  </si>
  <si>
    <t>Economic Survey 2019-2020 Chapter</t>
  </si>
  <si>
    <t>National Program/ Project Management Policy Framework (NPMPF)</t>
  </si>
  <si>
    <t>Design Innovation Centres</t>
  </si>
  <si>
    <t>Third party Interim Evaluation of TEQIP Phase 3</t>
  </si>
  <si>
    <t>Lanco Anpara Power Limited - Unloading End Project- Lanco Anpara</t>
  </si>
  <si>
    <t>Swachhta Excellence Award 2019-20</t>
  </si>
  <si>
    <t>SUSV (Support to Urban Street Vendors ) Excellence Award 2019-20</t>
  </si>
  <si>
    <t>PMU for Policy Analysis, Research and Data Analytics</t>
  </si>
  <si>
    <t>Census Survey of Water Body in ganga Basin</t>
  </si>
  <si>
    <t>CIM</t>
  </si>
  <si>
    <t>MHA CASU</t>
  </si>
  <si>
    <t>PMU-Ministry of Tourism</t>
  </si>
  <si>
    <t>Ministerial Policy and Implementation Dashboard</t>
  </si>
  <si>
    <t>Quality assessment of Akash system at BDL Ltd</t>
  </si>
  <si>
    <t>DGFT Pulse Importer Facility Assessment</t>
  </si>
  <si>
    <t>GeM HS Code</t>
  </si>
  <si>
    <t>Audit of Railway Terminals</t>
  </si>
  <si>
    <t>MoRTH Award-2020</t>
  </si>
  <si>
    <t>Profiling Project-2020</t>
  </si>
  <si>
    <t>Swachh NDMC -2020-2021</t>
  </si>
  <si>
    <t>Unnati</t>
  </si>
  <si>
    <t>Quality Analysis of Coal at Odisha Corporation Power Limited- OCPL</t>
  </si>
  <si>
    <t>Quality and Quantity Analysis of Lignite fuel at JSWBL, Barmer- JSW</t>
  </si>
  <si>
    <t>Hindalco Industries Limited Unit Mahan Aluminium-Plant End</t>
  </si>
  <si>
    <t>ATAL Bhujal Yogana</t>
  </si>
  <si>
    <t>NDMA PROJECT</t>
  </si>
  <si>
    <t>Swachh Survekshan 20-21</t>
  </si>
  <si>
    <t>Open Network for Digital Commerce (ONDC)</t>
  </si>
  <si>
    <t>DPIIT Reforms PMU</t>
  </si>
  <si>
    <t>Legal Metrology - E-commerce Country of Origin Compliance Study</t>
  </si>
  <si>
    <t>Socio Economic Profiling of PM Svanidhi Beneficiaries</t>
  </si>
  <si>
    <t>DGCIS Assessment</t>
  </si>
  <si>
    <t>Third-Party Evaluation of MHA</t>
  </si>
  <si>
    <t>DARPG COVID 19 UNIT</t>
  </si>
  <si>
    <t>Third Party Evaluation For SPoCS &amp; MGS</t>
  </si>
  <si>
    <t>TEQIP Employer Satisfaction Survey</t>
  </si>
  <si>
    <t>TPA OF FCI warehouses</t>
  </si>
  <si>
    <t>CCTV Project</t>
  </si>
  <si>
    <t>CRIS - Parcel Management System</t>
  </si>
  <si>
    <t>Pey Jal Survekshan-Pilot</t>
  </si>
  <si>
    <t>DPIIT-MoF Rationalisation PMU</t>
  </si>
  <si>
    <t>FSSAI - Trans Fat Survey</t>
  </si>
  <si>
    <t>Quality Analysis of Coal at NTPC Dulanga</t>
  </si>
  <si>
    <t>Process audit of electronic in-motion weighbridges of Indian Railways</t>
  </si>
  <si>
    <t>Labelling of QR code on Ocs</t>
  </si>
  <si>
    <t>Brand India</t>
  </si>
  <si>
    <t>Safaimitra Suraksha Challenge-2021</t>
  </si>
  <si>
    <t>Swachh Sahar Pratijogita- Odisha</t>
  </si>
  <si>
    <t>MoRTH NHEA 2021</t>
  </si>
  <si>
    <t>OC Inspection</t>
  </si>
  <si>
    <t>Capacity Building Commission, Code- Operation- CBC PMU</t>
  </si>
  <si>
    <t>Swachh SurVekshan -2021-22</t>
  </si>
  <si>
    <t>MHA Profiling Project 21-22</t>
  </si>
  <si>
    <t>Subhash Chandra Bose Aapda Prabandhan Puraskar (SCBAPP)</t>
  </si>
  <si>
    <t>Quality Analysis of Coal at MINE Ends of NLC TALIBARA- NLC INDIA LIMITED</t>
  </si>
  <si>
    <t>Third Party Inspection of Water supply schemes under Jal Jeevan Mission in the state of Himachal Pradesh</t>
  </si>
  <si>
    <t>Swachh Survekshan 2022</t>
  </si>
  <si>
    <t>DARPG - CPGRAMS Next 20</t>
  </si>
  <si>
    <t>TPT of Treated Waste Water</t>
  </si>
  <si>
    <t>NSP</t>
  </si>
  <si>
    <t>Quality Analysis of Coal at UNLOADING ENDs of Parichha thermal Power plant</t>
  </si>
  <si>
    <t>GeM ISMS Expert</t>
  </si>
  <si>
    <t>Survey of Water Bodies of district Jammu</t>
  </si>
  <si>
    <t>Capacity Building of DC Office, Jammu</t>
  </si>
  <si>
    <t>TPA Procurement</t>
  </si>
  <si>
    <t>Poshan Pakhwada and Swastha Balak Balika Spardha
(SBBS)</t>
  </si>
  <si>
    <t>Third Party Evaluation of the Campaign Increasing Efficiency in Decision Making</t>
  </si>
  <si>
    <t>Ease of Living Index &amp; Municipal Performance Index (UOF 2022)</t>
  </si>
  <si>
    <t>Jal Jeevan Misssion - Haryana</t>
  </si>
  <si>
    <t>Study of organisation and center sector schemes under the Ministry of Culture</t>
  </si>
  <si>
    <t>Vetting of Proposals for preparation of DPRs of Multi Village Water Supply Schemes</t>
  </si>
  <si>
    <t>DPE PMU</t>
  </si>
  <si>
    <t>Household Survey_RBI_Consumer Confidence Survey (CCS)</t>
  </si>
  <si>
    <t>Household Survey_RBI_Inflation Expectations Survey of Households (IESH)</t>
  </si>
  <si>
    <t>Household Survey_RBI_Rural Sentiment Survey (RSS)</t>
  </si>
  <si>
    <t>DARPG-Special Campaign for Disposal of Pending
Matters</t>
  </si>
  <si>
    <t>Quality Analysis of Coal at VOC Port Tuticorin for -NTPL</t>
  </si>
  <si>
    <t>Third-Party audit of Civil/Electrical Projects_UPRNN</t>
  </si>
  <si>
    <t>CPGRAMS PMU</t>
  </si>
  <si>
    <t>Baseline study assessment in 8 cities</t>
  </si>
  <si>
    <t>Ranking of Jails in Haryana</t>
  </si>
  <si>
    <t>SCDPM PMU</t>
  </si>
  <si>
    <t>Quality analysis of Import Coal-Pt.BDE- Import coal</t>
  </si>
  <si>
    <t>Profiling Project-2022-23</t>
  </si>
  <si>
    <t>MoRTH NHEA_2022</t>
  </si>
  <si>
    <t>Validation of ABDM Health Solutions</t>
  </si>
  <si>
    <t>Coal Misc. Project</t>
  </si>
  <si>
    <t>Subhash Chandra Bose Aapda Prabandhan Puraskar SCBAPP_2022</t>
  </si>
  <si>
    <t>Third Party Evaluation of Indian Leather</t>
  </si>
  <si>
    <t>National Gopal Ratna Awards</t>
  </si>
  <si>
    <t>Lanco Amarkantak Power Limited- Unloading End-Unit 2</t>
  </si>
  <si>
    <t>DPIIT Efficiency Pilot Study</t>
  </si>
  <si>
    <t>Quality Assurance of JVK Products</t>
  </si>
  <si>
    <t>NTPC - SAIL POWER COMPANY LIMITED - Unloading End Project- NSPCL</t>
  </si>
  <si>
    <t>DPIIT CFTI Chennai</t>
  </si>
  <si>
    <t>FCI Re-Assessment</t>
  </si>
  <si>
    <t>Assessment of 86 STPs created under NRCD</t>
  </si>
  <si>
    <t>TPI of the works being executed by UPPCL in Varanasi</t>
  </si>
  <si>
    <t>Assessment cum Audit in ICCCs of 12 Smart Cities</t>
  </si>
  <si>
    <t>ODF &amp; GFC</t>
  </si>
  <si>
    <t>TPI of Engineering Works Related to Sanskritik Manch, Ayodhya</t>
  </si>
  <si>
    <t>TPI of synthetic athletic track</t>
  </si>
  <si>
    <t>Re-development of ITPO Complex into International Exhibition Cum Convention Center (IECC) at Pragati Maidan New Delhi</t>
  </si>
  <si>
    <t>NeSDA PMU</t>
  </si>
  <si>
    <t>Quantification and Characterization of Organic Waste Management</t>
  </si>
  <si>
    <t>Providing services of Quality Control, quality and structural assurance for Civil, Electrical, mechanical MEP &amp; all other allied works of the redevelopment of the residential colony of AIIMS at Ayur Vigyan Nagar, New Delhi</t>
  </si>
  <si>
    <t>DARPG IEDM Feb 2023</t>
  </si>
  <si>
    <t>Third Party Audit of Civil, Electrical and Horticulture Works (G-20)-NDMC</t>
  </si>
  <si>
    <t>Peyjal Survekshan -Bhopal Municipal Corporation</t>
  </si>
  <si>
    <t>Impact Assessments of Police Karmayogi Project</t>
  </si>
  <si>
    <t>City Finance Ranking</t>
  </si>
  <si>
    <t>Third Party Inspection of works executed under Loss Reduction Component of RDSS Scheme in KESCo, Kanpur</t>
  </si>
  <si>
    <t>TPI of works executed by C&amp;DS UP Jal Nigam (Urban)</t>
  </si>
  <si>
    <t>J&amp;K Mission Karmayogi Assessment</t>
  </si>
  <si>
    <t>Elevator Awards 2024</t>
  </si>
  <si>
    <t>HRIDAY</t>
  </si>
  <si>
    <t>Impact Evaluation of Policing reforms</t>
  </si>
  <si>
    <t>Assessment of CWC Warehouses</t>
  </si>
  <si>
    <t>TPE of THE INITIATIVE FOR INCREASING EFFICIENCY IN DECISION MAKING 2023- Govt of MH</t>
  </si>
  <si>
    <t>Prime Minister's Research Fellows (PMRF) Scheme Evaluation</t>
  </si>
  <si>
    <t>CWC Assessment</t>
  </si>
  <si>
    <t>TPI of Multiple Ghats Executed by UPPCL in the district of Varanasi</t>
  </si>
  <si>
    <t>TPI of Civil/Electrical &amp; Electronics works executed by BIPARD at Gaya &amp; Patna, Bihar</t>
  </si>
  <si>
    <t>Quality Assurance of Electronic Items for Samagra Shiksha -AP</t>
  </si>
  <si>
    <t>Profiling 23-24</t>
  </si>
  <si>
    <t>Grading of Accredited Healthcare Organizations</t>
  </si>
  <si>
    <t>Quality Assurance of Sports Articles procured by Samagra Shiksha -AP</t>
  </si>
  <si>
    <t>Feedback Evaluation of IEM Certification - DPIIT</t>
  </si>
  <si>
    <t>Quality Assurance of Furniture Items for AAV and Navyug Schools (NDMC)</t>
  </si>
  <si>
    <t>Surveillance of Milk and Milk Products 2023</t>
  </si>
  <si>
    <t>TPI of Tulsi Smarak Bhawan Ayodhya Shodh Sansthan</t>
  </si>
  <si>
    <t>TPI of Multiple Works by UPPCL in Uttar Pradesh</t>
  </si>
  <si>
    <t>Quality Analysis of coal at LANCO Amarkantak Unit-1</t>
  </si>
  <si>
    <t>TPQA services for Construction of South Campus of Central University of Himachal Pradesh at Dehra, District Kangra HP</t>
  </si>
  <si>
    <t>Modern Video Surveillance System (VSS) for Central Warehousing Corporation (CWC) Warehouses</t>
  </si>
  <si>
    <t>Providing Third Party services of Quality Control &amp; Quality Assurance for Civil, MEP &amp; all other allied works of construction of residential accommodation for faculty and staff for ILBS at Vasant Kunj New Delhi</t>
  </si>
  <si>
    <t>TPI of Shri Atal Bihari Bajpai Sanskritik Sankul Kendra, Agra</t>
  </si>
  <si>
    <t>Quality Testing of Tanakpur Jauljibi 2 Lane Motor Road</t>
  </si>
  <si>
    <t>Engagement of Third Party Inspection Agency for Saharanpur Smart City Limited, Saharanpur</t>
  </si>
  <si>
    <t>Quality Analysis of Coal at Plant End of RRVUNL- RRVUNL</t>
  </si>
  <si>
    <t>PMU PHED Haryana</t>
  </si>
  <si>
    <t>National Horticulture Board</t>
  </si>
  <si>
    <t>Third Party Inspection Services of Jal Jeevan Mission (JJM) Works in the UT of Lakshadweep, Government of India.</t>
  </si>
  <si>
    <t>NHEA Awards MoRTH 2023</t>
  </si>
  <si>
    <t>TPI of Building in College of Agriculture and Technology in Banda</t>
  </si>
  <si>
    <t>Maturity Assessment of 100 Smart cities</t>
  </si>
  <si>
    <t>Student Enrolment Data Verification and Gross Enrolment Ratio (GER) Estimate Validation In Nandyal District, Andhra Pradesh</t>
  </si>
  <si>
    <t>BIS Camera</t>
  </si>
  <si>
    <t>Animal Husbandry Infrastructure Development Fund (AHIDF)</t>
  </si>
  <si>
    <t>Third-party assessment of IEC Vans</t>
  </si>
  <si>
    <t>Vikshit Bharat Sankalp Yatra</t>
  </si>
  <si>
    <t>Kaizen Implementation - Gov of MH</t>
  </si>
  <si>
    <t>Bharat Brand Project_2024</t>
  </si>
  <si>
    <t>GSRTC</t>
  </si>
  <si>
    <t>Quality Analysis of Coal at Port Ends of TANGEDCO- TANGEDCO</t>
  </si>
  <si>
    <t>Third Party Analysis of coal at mine end of NTPC- NTPC KERANDARI</t>
  </si>
  <si>
    <t>Quality analysis of coal at plant ends of NUPPL- NUPPL</t>
  </si>
  <si>
    <t>Quality Assurance of Jagananna Vidya Kanuka (JVK-5) Products</t>
  </si>
  <si>
    <t>Impact Assessment of CLSS Vertical under PMAY (U) (2024)</t>
  </si>
  <si>
    <t>Third-party inspection of Electrical Works under Madhyanchal Vidyut Vitran Nigam Limited</t>
  </si>
  <si>
    <t>Quality analysis of coal at plants ends of GSECL</t>
  </si>
  <si>
    <t>Swachh Survekshan Gujarat</t>
  </si>
  <si>
    <t>GRADING PROCUREMENT CENTRE 2023-24</t>
  </si>
  <si>
    <t>TPI for Open Gym and Kids' Play Equipment in Govt Parks under VDA</t>
  </si>
  <si>
    <t>Third Party Sampling, Testing &amp; Analysis of Coal- SCCL</t>
  </si>
  <si>
    <t>Quality Analysis of Coal at MINE Ends of SAIL CHASNALLA- SAIL</t>
  </si>
  <si>
    <t>Culture Phase 2</t>
  </si>
  <si>
    <t>Culture AKAM PMU</t>
  </si>
  <si>
    <t>Multi Sector Roadmaps</t>
  </si>
  <si>
    <t>CIL, Faridabad</t>
  </si>
  <si>
    <t>TPI of works executed by Moradabad Nagar Nigam</t>
  </si>
  <si>
    <t>APC, MoFPI</t>
  </si>
  <si>
    <t>TPS T &amp; A of coal at mine end of NLC Talabira</t>
  </si>
  <si>
    <t>Bi-Party Sampling, Testing &amp; Analysis of Coal at unloading end of NTPC Patratu</t>
  </si>
  <si>
    <t>Impact Assessment of VSTF</t>
  </si>
  <si>
    <t>Swachh Survekshan Gujarat Rural 2024</t>
  </si>
  <si>
    <t>Jal Hi Amrit</t>
  </si>
  <si>
    <t>Profiling 2024-25</t>
  </si>
  <si>
    <t>TPI of multiple works being executed by UPSTDC, U.P.</t>
  </si>
  <si>
    <t>TPE OF RAW MATERIAL SUPPLY SCHEME (RMSS)</t>
  </si>
  <si>
    <t>Capacity Building Commission</t>
  </si>
  <si>
    <t>Bi-Party Sampling, Testing &amp; Analysis of Coal at plant end of AVBTPS</t>
  </si>
  <si>
    <t>Future Ready TCGL</t>
  </si>
  <si>
    <t>Survey of backlog waste in Moradabad</t>
  </si>
  <si>
    <t>TPI of works other than JJM executed by PHED Haryana</t>
  </si>
  <si>
    <t>Quality Asessment of GP Level Trainings under ABY</t>
  </si>
  <si>
    <t>Impact Assessment of GPs under Atal Bhujal Yojana</t>
  </si>
  <si>
    <t>Swachh Agra</t>
  </si>
  <si>
    <t>Structural Stability Analysis for UPPCL Ghaziabad</t>
  </si>
  <si>
    <t>Verification of Mills and PCs OSCSC</t>
  </si>
  <si>
    <t>Engagement as Third Party Quality Monitoring Agency (TPQMA) for Providing Third Party Quality Control and Quality Assurance of Civil, Electrical, Mechanical and all other allied works for the redevelopment of West Ansari Nagar AIIMS under Package-I/Part-I, New Delhi</t>
  </si>
  <si>
    <t>PMU for the works executed by BIPARD</t>
  </si>
  <si>
    <t>Ouality assurance of Products under SRKVM-AP</t>
  </si>
  <si>
    <t>Third Party Evaluation of e-Shram (Schemes Implemented by Ministry of Labour &amp; Employement)</t>
  </si>
  <si>
    <t>PAN-India Surveillance of selected Edible Oil Products</t>
  </si>
  <si>
    <t>Culture Creative Economy PMU</t>
  </si>
  <si>
    <t>IIAS-DARPG Conference 2025</t>
  </si>
  <si>
    <t>Providing Third Party Quality Assurance Services for works at Jamia Millia Islamia</t>
  </si>
  <si>
    <t>Media PMU DARPG</t>
  </si>
  <si>
    <t>Sampling, Testing and Analysis of Coal at the unloading end of KPCL, RPCL</t>
  </si>
  <si>
    <t>CTSU Bhopal</t>
  </si>
  <si>
    <t>NDT to assess the quality of construction for the ongoing development of the Rehabilitation and Resettlement colony at Khinda, Talabira , Odisha</t>
  </si>
  <si>
    <t>Bi-Party Sampling, Testing &amp; Analysis of Coal at VOPA port end of SEPC</t>
  </si>
  <si>
    <t>Mission for Urban Poverty Alleviation (NULM)</t>
  </si>
  <si>
    <t>Future Ready of Gujtour</t>
  </si>
  <si>
    <t>PMU at D/o JKL Affairs</t>
  </si>
  <si>
    <t>Culture_Performing Arts_PMU</t>
  </si>
  <si>
    <t>Tech Evaluation of Damaged DTs in KESCo</t>
  </si>
  <si>
    <t>TPI of CM-GRID road in Mathura Vrindavan</t>
  </si>
  <si>
    <t>TPI of BDA Works</t>
  </si>
  <si>
    <t>Evaluation of Offices - Gov. of MH</t>
  </si>
  <si>
    <t>Pilot Assessment of State Guest House</t>
  </si>
  <si>
    <t>Micro Irrigation (PDMC) in Gujarat</t>
  </si>
  <si>
    <t>KESCo BD</t>
  </si>
  <si>
    <t>PF, P&amp;S</t>
  </si>
  <si>
    <t>T,C,W &amp; E</t>
  </si>
  <si>
    <t>F &amp; H</t>
  </si>
  <si>
    <t>Infra</t>
  </si>
  <si>
    <t>NR</t>
  </si>
  <si>
    <t>Governance</t>
  </si>
  <si>
    <t>P &amp; SQA</t>
  </si>
  <si>
    <t>A &amp; F</t>
  </si>
  <si>
    <t xml:space="preserve"> </t>
  </si>
  <si>
    <t>Karan Singh</t>
  </si>
  <si>
    <t>Dinesh Bhat</t>
  </si>
  <si>
    <t>Ankita Garg</t>
  </si>
  <si>
    <t>Shailja Devgan</t>
  </si>
  <si>
    <t>Prakhar Joshi</t>
  </si>
  <si>
    <t>Abhishek Mazumdar</t>
  </si>
  <si>
    <t>Akanksha Tyagi</t>
  </si>
  <si>
    <t>Ashutosh Shringi</t>
  </si>
  <si>
    <t>Kuwar Ashish</t>
  </si>
  <si>
    <t>Aashna Arora</t>
  </si>
  <si>
    <t>Anoushka Ghonkrokta</t>
  </si>
  <si>
    <t>Vijay Kohli</t>
  </si>
  <si>
    <t>Aditya Raj</t>
  </si>
  <si>
    <t>Prashant Sharma</t>
  </si>
  <si>
    <t>Abhishek Nayak</t>
  </si>
  <si>
    <t>Karan Sukhani</t>
  </si>
  <si>
    <t>Apoorva</t>
  </si>
  <si>
    <t>Vikas Pathak</t>
  </si>
  <si>
    <t>Dr. Hari Prakash/ Manik Gupta</t>
  </si>
  <si>
    <t>Prateesh Tiwari</t>
  </si>
  <si>
    <t>Arpit Mathur</t>
  </si>
  <si>
    <t>Dr. Hari Prakash/ Gaurav Kumar</t>
  </si>
  <si>
    <t>Ashish Gambhir</t>
  </si>
  <si>
    <t>Shyamjee Singh</t>
  </si>
  <si>
    <t>Ankita Tripathi</t>
  </si>
  <si>
    <t>Manoj Joshi</t>
  </si>
  <si>
    <t>Karan Sukhani/Ashmeet Kaur</t>
  </si>
  <si>
    <t>Harish Koidala</t>
  </si>
  <si>
    <t>Ashmeet/Karan</t>
  </si>
  <si>
    <t>Abhishek Sukhwani</t>
  </si>
  <si>
    <t>Ashmeet Kaur</t>
  </si>
  <si>
    <t>Tanya Wadhwa</t>
  </si>
  <si>
    <t>Jaiyesh Yadav</t>
  </si>
  <si>
    <t>Shubham Sharma</t>
  </si>
  <si>
    <t>Mihir Sharma</t>
  </si>
  <si>
    <t>Shankar/Ashmeet</t>
  </si>
  <si>
    <t>Abhinav Pandey</t>
  </si>
  <si>
    <t>Ankita Tyagi</t>
  </si>
  <si>
    <t>Aditya Lakshman</t>
  </si>
  <si>
    <t>Dr. Hari Prakash</t>
  </si>
  <si>
    <t>13-11-2-2023</t>
  </si>
  <si>
    <t>31-09-2023</t>
  </si>
  <si>
    <t>31-09-2024</t>
  </si>
  <si>
    <t>31-11-2024</t>
  </si>
  <si>
    <t>Client/Department</t>
  </si>
  <si>
    <t>Client/Ministry</t>
  </si>
  <si>
    <t>Uttar Pradesh State Road Transport Corporation (UPSRTC)</t>
  </si>
  <si>
    <t>Nashik Municipal Corporation</t>
  </si>
  <si>
    <t>Banaskantha District Co-op. Milk Producers' Union Ltd.</t>
  </si>
  <si>
    <t>IBF-OI</t>
  </si>
  <si>
    <t>Municipal Corporation of Gwalior</t>
  </si>
  <si>
    <t>Tourism Corporation of Gujarat Limited</t>
  </si>
  <si>
    <t>Department of Panchayati Raj</t>
  </si>
  <si>
    <t>New Delhi Municipal Council</t>
  </si>
  <si>
    <t>Employees' State Insurance Corporation (ESIC)</t>
  </si>
  <si>
    <t>Delhi Police</t>
  </si>
  <si>
    <t>Government e-Marketplace</t>
  </si>
  <si>
    <t>Confidential</t>
  </si>
  <si>
    <t>National Health Authority</t>
  </si>
  <si>
    <t>Food and Drugs Authority</t>
  </si>
  <si>
    <t>SEMBCORP</t>
  </si>
  <si>
    <t>Comptrollor and Auditor General of India</t>
  </si>
  <si>
    <t>National Mission for Clean Ganga</t>
  </si>
  <si>
    <t>Defence Research and Developmenr Organisation</t>
  </si>
  <si>
    <t>Department for Promotion of Industry and Internal Trade &amp; Director General of Foreign Trade</t>
  </si>
  <si>
    <t>Odisha Coal and Power Limited</t>
  </si>
  <si>
    <t>Directorate General of Commercial Intelligence and Statistics</t>
  </si>
  <si>
    <t>Department for Promotion of Industry and Internal Trade</t>
  </si>
  <si>
    <t>Railway Board</t>
  </si>
  <si>
    <t>Municipal Administration Department</t>
  </si>
  <si>
    <t>NLC India Limited</t>
  </si>
  <si>
    <t>Department of Administrative Reforms and Public Grievances</t>
  </si>
  <si>
    <t>Ministry of Housing and Urban Affairs</t>
  </si>
  <si>
    <t>Ministry of Women and Child Development</t>
  </si>
  <si>
    <t>Parichha Thermal Power Project</t>
  </si>
  <si>
    <t>DC Office, Jammu</t>
  </si>
  <si>
    <t>Public Health Engineering Department</t>
  </si>
  <si>
    <t>MP Jal Nigam</t>
  </si>
  <si>
    <t>Department of Public Enterprises</t>
  </si>
  <si>
    <t>Centralized Public Grievance Redress and Monitoring System, Department of Administrative Reforms and Public Grievances</t>
  </si>
  <si>
    <t>Pt. Bara Daya Energi</t>
  </si>
  <si>
    <t>Refex, SEPC, JPL Dhule, Ms Fuels, Omaxe</t>
  </si>
  <si>
    <t>NTPC Limited</t>
  </si>
  <si>
    <t>Food Corporation of India</t>
  </si>
  <si>
    <t>National River Conservation Directorate</t>
  </si>
  <si>
    <t>UP Projects Corporation Ltd.</t>
  </si>
  <si>
    <t>SBM III/PHE Division</t>
  </si>
  <si>
    <t>U.P. Project Corporations Ltd.</t>
  </si>
  <si>
    <t>India Trade Promotion Organisation, DPIIT</t>
  </si>
  <si>
    <t>IPE Global Limited</t>
  </si>
  <si>
    <t>National Buildings Construction Corporation</t>
  </si>
  <si>
    <t>Bhopal Municipal Corporation</t>
  </si>
  <si>
    <t>Uttar pradesh</t>
  </si>
  <si>
    <t>Construction &amp; Design Services U.P. Jal Nigam</t>
  </si>
  <si>
    <t>Virgo Communications and Exhibitions Pvt. Ltd.</t>
  </si>
  <si>
    <t>Heritage Cities Division</t>
  </si>
  <si>
    <t>Central Warehousing Corporation</t>
  </si>
  <si>
    <t>General Administration Department</t>
  </si>
  <si>
    <t>PMRF, IIT Madras</t>
  </si>
  <si>
    <t>UP Projects Corporation Ltd. (UPPCL)</t>
  </si>
  <si>
    <t>Bihar Institute of Public Administration and Rural Development (BIPARD)</t>
  </si>
  <si>
    <t>Department of Promotion of Industry and Internal Trade</t>
  </si>
  <si>
    <t>Food Safety and Standards Authority of India</t>
  </si>
  <si>
    <t>U.P. State Construction And Infrastructure Development Corporation Limited</t>
  </si>
  <si>
    <t xml:space="preserve">Lanco Amarkantak </t>
  </si>
  <si>
    <t>Central University of Himachal Pradesh</t>
  </si>
  <si>
    <t>Project Implementation Unit (PIU), PWD Thuligad Tanakpur</t>
  </si>
  <si>
    <t>Rajasthan Rajya Vidyut Utpadan Nigam</t>
  </si>
  <si>
    <t>Administration of Lakshadweep</t>
  </si>
  <si>
    <t>Department of Education</t>
  </si>
  <si>
    <t>Bureau of Indian Standards</t>
  </si>
  <si>
    <t>Central Bureau of Communication</t>
  </si>
  <si>
    <t>Gujarat State Road Transport Corporation (GSRTC)</t>
  </si>
  <si>
    <t>TANGEDCO</t>
  </si>
  <si>
    <t>Madhyanchal Vidyut Vitaran Nigam Ltd. (MVVNL)</t>
  </si>
  <si>
    <t>GSECL</t>
  </si>
  <si>
    <t>Urban Development and Urban Housing Department</t>
  </si>
  <si>
    <t>FCI</t>
  </si>
  <si>
    <t>Varanasi Development Authority</t>
  </si>
  <si>
    <t>SCCL</t>
  </si>
  <si>
    <t>SAIL CHASNALLA</t>
  </si>
  <si>
    <t xml:space="preserve">Nagar Nigam, Moradabad </t>
  </si>
  <si>
    <t>Ministry of Food Processing &amp; Industries</t>
  </si>
  <si>
    <t>Commissionerate of Rural Development</t>
  </si>
  <si>
    <t>AMRUT</t>
  </si>
  <si>
    <t>MHA</t>
  </si>
  <si>
    <t>Uttar Pradesh State Tourism Development Corporation Ltd. (UPSTDC)</t>
  </si>
  <si>
    <t>National Handloom Development Corporation Ltd. (NHDC)</t>
  </si>
  <si>
    <t>CBC</t>
  </si>
  <si>
    <t>Chhattisgarh State Power Generation Company Limited</t>
  </si>
  <si>
    <t>MoJS</t>
  </si>
  <si>
    <t>Agra Municipal Corporation</t>
  </si>
  <si>
    <t>U.P. Projects Corporation Limited (UPPCL)</t>
  </si>
  <si>
    <t>Odisha State Civil Supplies Corporation (OSCSC)</t>
  </si>
  <si>
    <t>National Buildings Construction Corporation Limited</t>
  </si>
  <si>
    <t>Bihar Institute of Public Administration &amp; Rural Development (BIPARD)</t>
  </si>
  <si>
    <t>Samagra Shiksha, Department of Education</t>
  </si>
  <si>
    <t>FSSAI</t>
  </si>
  <si>
    <t>Jamia Millia Islamia</t>
  </si>
  <si>
    <t>KPCL, RPCL</t>
  </si>
  <si>
    <t>Gujtour Development Company Ltd</t>
  </si>
  <si>
    <t>Ministry of Culture</t>
  </si>
  <si>
    <t>Ministry of Commerce and Industry</t>
  </si>
  <si>
    <t>Government of Uttar Pradesh</t>
  </si>
  <si>
    <t>Government of Maharashtra</t>
  </si>
  <si>
    <t>Cooperative</t>
  </si>
  <si>
    <t>Department of Food and Public Distribution</t>
  </si>
  <si>
    <t>Sasakawa-India Leprosy Foundation.</t>
  </si>
  <si>
    <t>Shri Somnath Trust</t>
  </si>
  <si>
    <t>Coal India Limited</t>
  </si>
  <si>
    <t>Govt Body (Not for Profit)</t>
  </si>
  <si>
    <t>HPCL</t>
  </si>
  <si>
    <t>Government of Madhya Pradesh</t>
  </si>
  <si>
    <t>Government of Jharkhand</t>
  </si>
  <si>
    <t>Ministry of Railways</t>
  </si>
  <si>
    <t>Government of Telangana</t>
  </si>
  <si>
    <t>Government of Gujarat</t>
  </si>
  <si>
    <t>Government of NCT of Delhi</t>
  </si>
  <si>
    <t>Ministry of Power</t>
  </si>
  <si>
    <t>Ministry of Petroleum and Natural Gas</t>
  </si>
  <si>
    <t>Ministry of Road Transport and Highways</t>
  </si>
  <si>
    <t>Ministry of Tourism</t>
  </si>
  <si>
    <t>Airports Authority of India</t>
  </si>
  <si>
    <t>Ministry of Social Justice and Empowerment</t>
  </si>
  <si>
    <t>Ministry of Labour and Employement</t>
  </si>
  <si>
    <t>Ministry of Home Affairs</t>
  </si>
  <si>
    <t>National Agricultural Cooperative Marketing Federation Of India Limited</t>
  </si>
  <si>
    <t>National Commission for Protection of Child Rights</t>
  </si>
  <si>
    <t>The Energy and Resources Institute</t>
  </si>
  <si>
    <t>Ministry of Ports, Shipping and Waterways</t>
  </si>
  <si>
    <t>Ministry of Tribal Affairs</t>
  </si>
  <si>
    <t>Ministry of Health and Family Welfare</t>
  </si>
  <si>
    <t>Ministry of Finance</t>
  </si>
  <si>
    <t>Ministry of Rural Development</t>
  </si>
  <si>
    <t>Government of Kerala, Government of Nagaland, Government of Assam</t>
  </si>
  <si>
    <t>Government of Goa</t>
  </si>
  <si>
    <t>NITI Aayog</t>
  </si>
  <si>
    <t>Government of Haryana</t>
  </si>
  <si>
    <t>Ministry of Human Resource Development</t>
  </si>
  <si>
    <t>LAPL</t>
  </si>
  <si>
    <t>Ministry of Jal Shakti</t>
  </si>
  <si>
    <t>Ministry of Commerce and Industry &amp; Others</t>
  </si>
  <si>
    <t>Ministry of Defence</t>
  </si>
  <si>
    <t>Government of Odisha</t>
  </si>
  <si>
    <t>JSW Energy Barmer Plant</t>
  </si>
  <si>
    <t>Hindalco</t>
  </si>
  <si>
    <t>National Disaster Management Authority</t>
  </si>
  <si>
    <t>Ministry of Consumer Affairs, Food and Public Distribution</t>
  </si>
  <si>
    <t>DPIIT, Ministry of Commerce and Industry</t>
  </si>
  <si>
    <t>National Thermal Power Corporation</t>
  </si>
  <si>
    <t>Government of Andhra Pradesh</t>
  </si>
  <si>
    <t>Ministry of Coal</t>
  </si>
  <si>
    <t>Government of Himachal Pradesh</t>
  </si>
  <si>
    <t>Ministry of Personnel, Public Grievances and Pensions</t>
  </si>
  <si>
    <t>Administration of Jammu and Kashmir</t>
  </si>
  <si>
    <t>Reserve Bank of India</t>
  </si>
  <si>
    <t>NTPL</t>
  </si>
  <si>
    <t>Ministry of Fisheries, Animal Husbandry and Dairying</t>
  </si>
  <si>
    <t>Autonomous Body</t>
  </si>
  <si>
    <t>Public Sector Enterprise</t>
  </si>
  <si>
    <t>Government of of Bihar</t>
  </si>
  <si>
    <t>Statutory Body under Ministry of Health and Family Welfare</t>
  </si>
  <si>
    <t>Government. of Himachal Pradesh</t>
  </si>
  <si>
    <t>Government of Uttarakhand</t>
  </si>
  <si>
    <t>Government of Rajasthan</t>
  </si>
  <si>
    <t>Ministry of Agriculture &amp; Farmers Welfare</t>
  </si>
  <si>
    <t>Ministry of Information and Broadcasting of India</t>
  </si>
  <si>
    <t>Government of Tamil Nadu</t>
  </si>
  <si>
    <t>NTPC</t>
  </si>
  <si>
    <t>NUPPL</t>
  </si>
  <si>
    <t>Ministry of Textiles</t>
  </si>
  <si>
    <t>Government of Chhattisgarh</t>
  </si>
  <si>
    <t xml:space="preserve">U.P. Projects Corporation Limited </t>
  </si>
  <si>
    <t>Government of Bihar</t>
  </si>
  <si>
    <t>Ministry of Education</t>
  </si>
  <si>
    <t>Ministry of Labour &amp; Employment</t>
  </si>
  <si>
    <t>Government of Karnataka</t>
  </si>
  <si>
    <t>SEPC</t>
  </si>
  <si>
    <t>Client Type</t>
  </si>
  <si>
    <t>Ministry</t>
  </si>
  <si>
    <t>State Govt.</t>
  </si>
  <si>
    <t>Non-Profit Organisation</t>
  </si>
  <si>
    <t>Independent Body</t>
  </si>
  <si>
    <t>PSU</t>
  </si>
  <si>
    <t>University</t>
  </si>
  <si>
    <t>Corporate</t>
  </si>
  <si>
    <t>PSU/Ministry?</t>
  </si>
  <si>
    <t>UT</t>
  </si>
  <si>
    <t>State Gov.</t>
  </si>
  <si>
    <t>Public Limited Company</t>
  </si>
  <si>
    <t>Statutory Body</t>
  </si>
  <si>
    <t>Others</t>
  </si>
  <si>
    <t>Financial Mgmt, Policy Analysis &amp; Research</t>
  </si>
  <si>
    <t>Structural &amp; Utilities Management</t>
  </si>
  <si>
    <t>Social Welfare, Education &amp; Skill Development</t>
  </si>
  <si>
    <t>Water &amp; Sanitation</t>
  </si>
  <si>
    <t>Agriculture, Food Processing &amp; Supply Chain</t>
  </si>
  <si>
    <t>Mining &amp; Metallurgy</t>
  </si>
  <si>
    <t>Arts, Culture &amp; Tourism</t>
  </si>
  <si>
    <t>Governanace, Administration &amp; Digital Infrastructure</t>
  </si>
  <si>
    <t>Pan India</t>
  </si>
  <si>
    <t>Uttar Pradesh</t>
  </si>
  <si>
    <t>Maharashtra</t>
  </si>
  <si>
    <t>Gujarat</t>
  </si>
  <si>
    <t>Rajasthan</t>
  </si>
  <si>
    <t>Madhya Pradesh</t>
  </si>
  <si>
    <t>NCT of Delhi</t>
  </si>
  <si>
    <t>Jharkhand</t>
  </si>
  <si>
    <t>Telangana</t>
  </si>
  <si>
    <t>Kerala, Nagaland, Assam</t>
  </si>
  <si>
    <t>Goa</t>
  </si>
  <si>
    <t>Haryana</t>
  </si>
  <si>
    <t>Odisha</t>
  </si>
  <si>
    <t>Andhra Pradesh</t>
  </si>
  <si>
    <t>Himachal Pradesh</t>
  </si>
  <si>
    <t>Jammu &amp; Kashmir</t>
  </si>
  <si>
    <t>Tamil Nadu</t>
  </si>
  <si>
    <t>Lakshadweep, Daman &amp; Diu, Dadra &amp; Nagar Haveli</t>
  </si>
  <si>
    <t>Bihar</t>
  </si>
  <si>
    <t>Uttarakhand</t>
  </si>
  <si>
    <t>Chattisgarh</t>
  </si>
  <si>
    <t>Karnataka</t>
  </si>
  <si>
    <t>Capacity building &amp; Impact Assessment</t>
  </si>
  <si>
    <t>TPI/TPA/TPE/TPQA</t>
  </si>
  <si>
    <t>PMU/PMC</t>
  </si>
  <si>
    <t>Sanitaion, Education and Skill development</t>
  </si>
  <si>
    <t>Bio energy</t>
  </si>
  <si>
    <t>Food</t>
  </si>
  <si>
    <t>Social Impact</t>
  </si>
  <si>
    <t>Arts, Culture &amp; Heritage</t>
  </si>
  <si>
    <t>Tourism</t>
  </si>
  <si>
    <t>Coal</t>
  </si>
  <si>
    <t>Social Welfare</t>
  </si>
  <si>
    <t xml:space="preserve">Commerce </t>
  </si>
  <si>
    <t>Health</t>
  </si>
  <si>
    <t>Finance</t>
  </si>
  <si>
    <t>Fishery</t>
  </si>
  <si>
    <t>Commerce</t>
  </si>
  <si>
    <t>Water</t>
  </si>
  <si>
    <t>Social &amp; Financial Inclsuion</t>
  </si>
  <si>
    <t>Food Security, Warehouses</t>
  </si>
  <si>
    <t>Healthcare &amp; Medical Devices Sector.</t>
  </si>
  <si>
    <t>Infrastructure, Water Supply</t>
  </si>
  <si>
    <t>Water Conservation</t>
  </si>
  <si>
    <t>Capacity Building for ISO (9001:2015)</t>
  </si>
  <si>
    <t>Food Security</t>
  </si>
  <si>
    <t xml:space="preserve">Urban Governance </t>
  </si>
  <si>
    <t>Infrastructure</t>
  </si>
  <si>
    <t>Leather &amp; Footwear</t>
  </si>
  <si>
    <t>Education</t>
  </si>
  <si>
    <t>Infrastructure &amp; Governance</t>
  </si>
  <si>
    <t xml:space="preserve">Sanitation </t>
  </si>
  <si>
    <t xml:space="preserve">Infrastructure </t>
  </si>
  <si>
    <t>Sanitation</t>
  </si>
  <si>
    <t xml:space="preserve">Electrical </t>
  </si>
  <si>
    <t>Law Enforcement Agencies (LEAs)</t>
  </si>
  <si>
    <t>IEM</t>
  </si>
  <si>
    <t>Surveillance</t>
  </si>
  <si>
    <t>Horticulture</t>
  </si>
  <si>
    <t>Animal Husbandry &amp; Dairying</t>
  </si>
  <si>
    <t>Centrally sponsered social sector schemes</t>
  </si>
  <si>
    <t>Food Security, Supply Chain</t>
  </si>
  <si>
    <t>Cleanliness and Sanitaion</t>
  </si>
  <si>
    <t>Urban Governance and Housing</t>
  </si>
  <si>
    <t>Sanitation &amp; Hygine</t>
  </si>
  <si>
    <t xml:space="preserve">Food Security, Technology </t>
  </si>
  <si>
    <t>Pesticides/Insecticides &amp; Laboratory Evaluation</t>
  </si>
  <si>
    <t>Mechanical</t>
  </si>
  <si>
    <t>Food Processing</t>
  </si>
  <si>
    <t>Rural Development</t>
  </si>
  <si>
    <t>Handlooms</t>
  </si>
  <si>
    <t>Quality Assurance</t>
  </si>
  <si>
    <t>Social, Financial Inclsuion &amp; Identification of Vulnerable Occupational Groups</t>
  </si>
  <si>
    <t>R&amp;B</t>
  </si>
  <si>
    <t>QCI has been engaged by Nashik Municipal Corporation for one of its kind Quality City initiative aiming for situational analysis of different sectors and provide on ground implementation support for several initiatives.</t>
  </si>
  <si>
    <t>To assess the quality of Biogas getting produced at their Biogas plant located in Palanpur</t>
  </si>
  <si>
    <t>Conduct a study about the receipt of free-of-cost food grains under the scheme PMGKAY and beneficiary satisfaction through an on-ground survey.</t>
  </si>
  <si>
    <t>To conduct an impact evaluation of the livelihoods project in the Champa district of Chhattisgarh which will analyze the impact of the project on the lives of the beneficiaries and their family members, any substantive change in their socio-economic standing.</t>
  </si>
  <si>
    <t>The National Library functions as a Subordinative Office of the Ministry of Culture, Government of India. As part of Phase-1 Study of Organizations &amp; Central Sector Schemes of the Ministry of Culture, QCI had outlined broad recommendations for the National Library.</t>
  </si>
  <si>
    <t>The National Library then requested QCI to undertake a detailed review of its existing manpower, structure and governance models, and activities and make suggestions for changes. QCI reviewed the institution in detail: including their current recruitment rules, Staff Inspection Unit Report, and other previous reports highlighting human resource related issues of the National Library, governance, structure, objective and mandate. In order to understand the landscape further, QCI also studied organizational structures and hierarchy models of leading global libraries.</t>
  </si>
  <si>
    <t xml:space="preserve">Collection, preparation and analysis of coal at loading points for non- power consumers and power sector consumers </t>
  </si>
  <si>
    <t>The PMU is mandated to perform multiple activities as a knowledge and quality partner to GeM to assure quality in the procurement of goods and services, such as conducting research on global best practices in the relevant domain and assisting in its adaptation by GeM. Additionally, working closely with all the stakeholders in GeM, and is also responsible for all the validations of service providers and vendor assessment exemptions, along with promoting &amp; enhancing quality (by ensuring sanity in the marketplace and compliance checks), building capacities, and developing strategies, including, but not limited to creating a strategic framework for identification and validation of relevant seller/product/service certifications for both goods and services.</t>
  </si>
  <si>
    <t>FDA Goa has nominated QCI for Third-Party Testing of Fisheries to check the presence of added Formaldehyde. The samples are collected and tested for the presence of formaldehyde in fish and fishery products being consumed in Goa. QCI is checking each of the vehicles carrying fish entering Goa’s for two of it’s major state borders (Patradevi &amp; Polem) and in Margao wholesale fish market. The objective is to provide unadulterated fish for a healthy life to each individual in state of Goa.</t>
  </si>
  <si>
    <t>The Vendor Validation process is a mechanism for evaluation of vendors and their performance on various predefined parameters. It aims to recognize and bring out reliable vendors that consistently meet or exceed the expectations and requirements of the buyers. The primary objective of the project is to validate and authenticate vendors registering on the GeM portal, resulting in the elimination of deceitful vendors, compromising the quality of the products &amp; services. Furthermore, considering that all the products and services on the GeM portal are intended for government entities, it helps the buyers procure goods and services from reliable vendors offering high-quality products and services, thereby enhancing procurement efficiency, and reducing the risk of substandard products and services.</t>
  </si>
  <si>
    <t>Qualitative analysis of coal at mil bunker of Lanco Anpara Power Limited</t>
  </si>
  <si>
    <t>We have been awarded work by competetive bidiing at Odisha Coal and Power Limited (OCPL) for quality analysis of coal at their mine end</t>
  </si>
  <si>
    <t>We have been awarded work by competetive bidiing at JSWEBL Barmer for Quality and Quantity analysis of coal at their plant end</t>
  </si>
  <si>
    <t>The PM-SVANidhi Scheme is extended by the Ministry of Housing and Urban Affairs (MoHUA) to 'SVANidhi Se Samriddhi' for empowering street vendors with holistic development and economic upliftment. The main objective is to conduct the socio-economic profiling of PM SVANidhi beneficiaries and their family members &amp; asses their potential eligibility for various schemes of the central government and facilitate linkage to these schemes.</t>
  </si>
  <si>
    <t>The objective was to assess 2147 FCI warehouses to evaluate safety standards, infrastructure, fire safety, theft prevention, grain treatments, and storage conditions. It also aimed to identify gaps between current and desired practices and recommend improvements, including technological interventions and best practices.</t>
  </si>
  <si>
    <t>The Government of India, through ONGC, is procuring 1 lakh Oxygen Concentrators (OCs) under the PM Cares Fund, with 70,000 units being manufactured domestically. To ensure the quality and reliability of these medical devices, QCI has been assigned the responsibility of conducting inspections and sample testing.
Key Aspects of the Project:
Manufacturers' Compliance: OCs must meet ISO 13485:2016 / ICMED 13485 standards and be tested in NABL-accredited labs.
Inspection Process:
On-Site Inspections at manufacturing units by NABCB-accredited bodies.
Sampling &amp; Testing based on ISO/IS standards.
Acceptance Quality Level (AQL): Strict criteria for defects.
External Testing (if required): In case of quality deviations.
Rejection &amp; Reconsideration: If a batch fails, it can be rectified and re-inspected. After two failures, it will be rejected.</t>
  </si>
  <si>
    <t>NLC has nominated Quality Council of India (QCI) for quality analysis of coal at their mine end</t>
  </si>
  <si>
    <t xml:space="preserve">Quality Council of India was envisioned for GoI's flagship in Jal Jeevan Mission in the State of Himachal Pradesh as a sector partner to provide Third Party Inspection of schemes. QCI was given the responsibility of checking the quality of work executed by the agencies in Himachal Pradesh, quality of material used for construction and quality of machinery installed in each of schemes
In addition, carrying out inspection of all engineering works relating to civil, mechanical and electrical components executed under the schemes of JJM and providing reports containing the regular updates and progress of the overall schemes on a month end basis is provided to the Mission Director, JJM, Shimla
</t>
  </si>
  <si>
    <t xml:space="preserve">Parichha Thermal Power Project has awarded work to Quality Council of India for carrying out sampling and analysis of indigenous coal at their unloading end. </t>
  </si>
  <si>
    <t xml:space="preserve">The purpose of the study is to do a mapping of water bodies in Jammu district for the below mentioned points:
# Geo-mapping of water bodies.
# Coding of Water bodies.
# Tentative area of Water bodies.
# Current status of Water bodies.
# Type of intervention required.
# Perimeter of Water bodies.
# Detailing of Topographic/ Description of area.
# Customized Dashboard for water bodies.
</t>
  </si>
  <si>
    <t>The objective is to provide the capacity building support to DC Office Jammu to prepare them conversant and ready for ISO 9000:2015 implementation /certification.</t>
  </si>
  <si>
    <t xml:space="preserve">Conducted baseline assessment at 434 Grain Procurement Centers (Mandis) across 23 States and UTs on areas of Infrastructure and services, farmer satisfaction, and quality of the purchased grains across Kharif Marketing Season 2021-22 and Rabi Marketing Season 2022-23. </t>
  </si>
  <si>
    <t>Asssited MoHUA in collecting and validating over 400 plus data points from 266 cities across India for the formulation of indcies - Ease of Living Index (EoLI) and Municipal Performance Index (MPI). Also conducted Citizen Perception Survey (CPS) to capture views of citizen about their cities.</t>
  </si>
  <si>
    <t xml:space="preserve">The Ministry of Culture has over 43 organizations and 24 central sector schemes, which are of vital importance to practice and promote India’s arts and culture sector. In 2022, the Ministry of Culture realized the need for a thorough review to reimagine its role in promoting India’s cultural heritage across India and abroad. The Ministry engaged QCI for a diagnostic study of its organizations and schemes. In this regard, QCI reviewed 43 institutions and all the central sector schemes under the ministry. </t>
  </si>
  <si>
    <t>NTPL has awarded work for carrying out quantity and quality analysis of indigenous and import coal at their NCB-VOC port, Tuticorin</t>
  </si>
  <si>
    <t>QCI was entrusted again for the responsibility of conducting end to end process of National Highways Excellence Awards. Portal had been launced on 23rd August, 2022. NHEA was initiated in the year 2018 with an aim to recognize companies performing exceptionally &amp; delivering finest quality services in construction &amp; management of National Highways, and making strides to raise the bar of safety, innovation &amp; sustainability.</t>
  </si>
  <si>
    <t xml:space="preserve">This project inclues of all the projects with short duaration andthose  having less quantity work. QCI have been awarded for the qualitative ananlysis at their unloading/loading/mine/port end. </t>
  </si>
  <si>
    <t xml:space="preserve">1. Verification of training imparted for the Basic Footwear Cutting/Closing Operator training.
2. Verification of scholarship/stipend granted to trainees after successful completion of training, and
3. Verification of post-training employment records of the trainees.
</t>
  </si>
  <si>
    <t xml:space="preserve">Lanco Amarkantak Power Limited has awarded work to Quality Council of India for carrying out sampling and analysis of indigenous  and import coal at their unloading end. </t>
  </si>
  <si>
    <t>The assessment focuses on adjudging the quality and agility with regard to DPIIT’s functioning and service delivery through their administrative processes. The pilot study conducted may be replicated across Ministries / Departments once the baseline/benchmark is established on the basis of the result produced in pilot study.</t>
  </si>
  <si>
    <t>The Department of School Education onboarded QCI as a quality assurance partner to ensure that the procured products meet 100% compliance with the specified Indian Standards. This partnership is critical to guaranteeing that only quality products are delivered to the end beneficiaries, thereby maintaining trust and achieving the scheme's objectives.</t>
  </si>
  <si>
    <t>NTPC-SAIL Power Company Limited has awarded work to Quality Council of India for carrying out sampling and analysis of coal at their unloading end.</t>
  </si>
  <si>
    <t>1. Verification of training imparted for the Basic Closing Operator – Goods &amp; Garments or Basic Closing Operator – Footwear.
2. Verification of scholarship/stipend granted to trainees after successful completion of training.
3. Verification of post-training employment records of the trainees.</t>
  </si>
  <si>
    <t>Entrusted with the task of re-assessment of 492 FCI warehouses</t>
  </si>
  <si>
    <t>Pan-India Assessment of 86 Sewage Treatment Plants (STPs) which falls under NRCD</t>
  </si>
  <si>
    <t>QCI was contracted by UPPCL to perform inspections on projects associated with Panchkosi Yatra, as well as other Yatras such as Asht Vinayak Yatra, Kashi mai Chaar Dham Yatra, Kashi Vishnu Yatra, Kashi Bhairav Yatra, and various other Yatras in the city of Varanasi. 
The inspection also encompasses Rameshwar Ghat and Jai Vinayak Ghat, with a specific focus on evaluating the presence and adequacy of toe walls, breast walls, retaining walls, and other structural elements required in Ghats. The objective was to conduct inspections throughout the construction phase of the projects in order to assess the quality of the ongoing works executed by UPPCL.</t>
  </si>
  <si>
    <t>Safety And security Assessment of ICCC</t>
  </si>
  <si>
    <t>Conducted Independent Assessment and Certification of the urban loacal bodies for SBM ODF Protocols and Star rating Protocol.</t>
  </si>
  <si>
    <t>Third party inspection of box Girders and trusses of convention centre which were part of ongoing preparation of G20 summit.</t>
  </si>
  <si>
    <t>National e-Governance Service Delivery Assessment (NeSDA) assesses and benchmarks State/UTs and Central Govt. on the depth and effectiveness of e-governance service delivery. The NeSDA PMU assists DARPG to monitor and evaluate the implementation of recommendations given in the NeSDA 2021 report, along with assisting in National eGovernance Webinar Series, RTS meetings etc.</t>
  </si>
  <si>
    <t xml:space="preserve">The objective of the project was to conduct a TPI of Redevelopment of Residential Colony of AIIMSQCI was entrusted with conducting quality assurances for Civil structures, materials and workmanship of civil, plumbing, electrical, mechanical, MEP, external development and all other allied works required to complete the project at appropriate stages of construction. Responsibility of QCI included highlighting the problem area, if any, and suggesting step/solution for the same to achieve the overall target of quality assurance. </t>
  </si>
  <si>
    <t>The project focuses on assessing Bhopal Municipal Corporation's (BMC) compliance with water supply benchmarks, including coverage, quality, quantity, and user charge reforms, to align with national standards. It will evaluate BMC’s water supply management practices and operational efficiency of sewage and water treatment plants, identifying opportunities for optimization. Strategies to reduce non-revenue water (NRW) will include creating district metered areas (DMAs) and training programs to minimize leakages. To date, QCI has conducted three quarterly assessments, bringing significant improvements to BMC's water management segment. To date, QCI has conducted three quarterly assessments, bringing significant improvements to BMC's water management segment.</t>
  </si>
  <si>
    <t xml:space="preserve">Collected and conducted assessment of the financial data of the ULBs, to rank them on certain parameters. Also provided outreach, training and support to the states and the ULBs in submitting their data. </t>
  </si>
  <si>
    <t>The work of inspection shall include the inspection of quality of erection works executed under RDSS Project, at various locations of KESCo, Kanpur. Following is the scope of work 
• To monitor the quality assurance mechanism (QAM) including verification and inspections of erection work
• Carry out field inspections on sample basis during implementation to verify works are carried out in compliance to technical specifications and acceptable quality of workmanship.
• Issue Site Observation Reports (SOR) and follow-up with the subcontractor/manufacturer for implementation of any remedial actions.
• Upon completion of activity, carry out joint inspections together with the KESCo’s staff and for final measurements and quality inspections.
• Follow-up any on technical issues for corrective action during defects liability period with the subcontractor/manufacturer.
• Formulation of detail comprehensive quality assurance mechanism plan/GTP as case may be for work to be carried out under RDSS scheme with objective to create quality infrastructure.</t>
  </si>
  <si>
    <t xml:space="preserve">QCI has been entrusted by C&amp;DS U.P. Jal Nigam to conduct Third Party Inspections (TPI) at Dr. Bhim Rao Ambedkar International Stadium in the city of Ayodhya. The construction of the cricket stadium started back in 2006, but unfortunately, the project was halted back in 2017 and couldn’t be completed. The objective is to conduct TPI throughout the construction phase of the project in order to assess the quality and perform non-destructive test of the existing and ongoing works.  </t>
  </si>
  <si>
    <t>QCI has been contracted by CBC to conduct an assessment aimed at measuring the impact of the training program implemented throughout the Union Territory of Jammu and Kashmir. The impact assessment was carried out in both divisions of Jammu and Kashmir, four police stations were selected from each division by CBC for the assessment. The objective of the project is to evaluate the impact of the Mission Karmayogi training provided to police personnel in Jammu and Kashmir. This training encompassed behavioral aspects and a curriculum focused on societal betterment to promote community inclusiveness.</t>
  </si>
  <si>
    <t>QCI has been appointed by Virgo Communications as a Technical Evaluation Partner with the purpose of developing a platform for the Elevator Industry and introducing the inaugural Elevator Awards in India. These awards aim to acknowledge technological advancements and provide incentives to the key players in the industry.
The project seeks to recognize and reward stakeholders who demonstrate exceptional performance and deliver high-quality services in areas such as Design, Adaptation, Implementation of Technology, and Management of Elevators and Escalators. The primary goal of this initiative is to elevate standards of Safety, Quality, and User-Experience in the Elevator and Escalator industry.</t>
  </si>
  <si>
    <t>1.) The overall objective of the study is to do a baseline study and an impact assessment of the last eight (8) DGsP/IGsP Conferences from 2014 until 2021.
2.) To understand the status, impact, awareness, and level of surveillance on the implementation of the recommendations, in each State and Union Territory including CAPFs, CPOs &amp; Prison Department.
3.) To study recommendations mapped to SMART Policing and Prison Reforms.</t>
  </si>
  <si>
    <t>The Government of Maharashtra is conducting an evaluation study in all its districts and Secretariat administration through QCI using the four pronged approach, as done by QCI for DARPG of the Central Secretariat,. The aim of the project is to evaluate the consequences of these measures on overall functioning and work productivity of the departments.</t>
  </si>
  <si>
    <t>1. To understand and document the impact of the scheme on its stakeholders.
2. Benefits/impact to all stakeholders to be quantified.</t>
  </si>
  <si>
    <t>The objective was to assess 376 CWC warehouses to evaluate safety standards, infrastructure, fire safety, theft prevention, grain treatments, and storage conditions. It also aimed to identify gaps between current and desired practices and recommend improvements, including technological interventions and best practices.</t>
  </si>
  <si>
    <t>Conducting third party inspection of Judge Guest House Ghat, Shastri Ghat and Chandrawati Ghat in Varanasi. The main aim is to conduct inspections throughout the entire construction process of the project, which will be spanning over a duration of approximately 9 months. Following each inspection, a comprehensive report will be provided.</t>
  </si>
  <si>
    <t xml:space="preserve">Conducting Third Party Inspections (TPI) at Walmi campus, Patna and BIPARD campus, Gaya. The TPI would be in 2 phases for civil constructions &amp; electrical/ electronic works. </t>
  </si>
  <si>
    <t>Project was discarded due to some change of plan at clients end</t>
  </si>
  <si>
    <t>DPIIT requires an in-depth check on services provided, in order to assess the effectiveness of the digital initiative of the organization and complaints against particular functionalities therein, ease of doing business, and the overall importance of the said certification.</t>
  </si>
  <si>
    <t>The Quality Council of India (QCI) has proposed a quality assurance process for furniture items procured by NDMC for Atal Adarsh Vidyalaya (AAV) and Navyug Schools. The project aims to ensure that 14 categories of furniture, including desks, chairs, tables, and cabinets, meet the specified technical standards.
Key Highlights:
Methodology:
Documentation Review
On-site physical inspection by an experienced assessor
Lab testing in NABL-accredited laboratories
Final reporting with quality assessment results
Timeline &amp; Deliverables:
The project will be completed in 15 working days
A detailed quality report will be submitted</t>
  </si>
  <si>
    <t>Conduct a robust and independent market survey of the overall quality and safety landscape of milk and related 7 milk products (8572 samples) in India across 640 district/cities in India from organized and unorganized sectors.</t>
  </si>
  <si>
    <t>QCI has been contracted by the U.P. State and Infrastructure Development Corporation Ltd. to perform third-party inspection for the construction and renovation work of Tulsi Smarak Bhawan Ayodhya Shodh Sansthan in Ayodhya district. The objective was to conduct a comprehensive inspection of the construction works undertaken. This includes non-destructive testing, visual examination, verification of Bill of Quantities (BOQ) and drawings in conjunction with the site, as well as verification of Measurement Books (MBs) and Running Account (RA) bills.</t>
  </si>
  <si>
    <t>QCI has been entrusted by the Uttar Pradesh Projects Corporation Limited to perform third-party inspection of construction works executed in the district of Chitrakoot, Meerut, Agra, Hathras, Firozabad, Mainpuri, Aligarh, Etah, Kasganj, Azamgarh, Mau, Pilibhit, Bareilly Mirzapur, Sonbhadra, Ghaziabad, Bhadohi, Varanasi, Prayagraj, Ayodhya, Amethi, Sultanpur, Raebareilly, Sitapur, Lakhimpur, Barabanki, Unnao &amp; Lucknow. The objective is to conduct a comprehensive inspection of the construction works undertaken by UPPCL. This includes non-destructive testing, visual examination, verification of Bill of Quantities (BOQ) and drawings in conjunction with the site, as well as verification of Measurement Books (MBs) and Running Account (RA) bills.</t>
  </si>
  <si>
    <t>Quality Council of India bagged the tender from central university through Central Public Procurement Portal for TPI of Construction of South Campus of Central University of Himachal pradesh. TPI of the following has to be completed under the project:
1. Administrative Blocks (1 + 1 Nos.), Lecture Halls (1 + 1 Nos.) Academic Blocks (4 + 5 Nos.)
2. Hostel Blocks (6 + 5 Nos.: Boys/ Girls/ International)
3. Multi-Purpose Hall (1 + 1 Nos.), Guest House (1 + 1 Nos.)
4. Shopping Arcades, Amenities, Health Centers (l + 2 Nos.)
5. Staff Residences (59 + 59 Nos. type - III to VI &amp; VC Residence)
6. Service Blocks (1 + 1 Nos.) including External Development Work, Internal and External
7. Civil, Electrical &amp; Mechanical Services on EPC (Mode - I) Basis</t>
  </si>
  <si>
    <t>PMC/ PMU appointed to improve the security and transparency in CWC Warehouses through implementation of a modern Video Surveillance System (CCTV/ IoT Sensors) for ~231 foodgrain warehouses PAN India.</t>
  </si>
  <si>
    <t>Quality assurances for Civil structures, materials and workmanship of civil, plumbing, electrical, mechanical, MEP, external development and all other allied works required to complete the project at appropriate stages of construction. Responsibility includes highlighting the problem area, if any, and suggesting step /solution for the same to achieve the overall target of quality assurance. Testing (field and laboratory) of materials at site laboratory or outside laboratory will be carried out by QCI as per recommendations of QCI or as per the frequency defined in CPWD, BIS codes &amp; approved by NBCC.</t>
  </si>
  <si>
    <t>QCI has been contracted by the U.P. State and Infrastructure Development Corporation Ltd. to perform third-party inspection for the construction work of Baharat Ratna Shri Atal Bihari Bajpai Sanskritik Sankul kendra at Bateshwar, Bah, Agra (U.P). The objective was to conduct a comprehensive inspection of the construction works undertaken. This includes non-destructive testing, visual examination, verification of Bill of Quantities (BOQ) and drawings in conjunction with the site, as well as verification of Measurement Books (MBs) and Running Account (RA) bills.</t>
  </si>
  <si>
    <t xml:space="preserve">QCI was entrusted to conduct TPI and quality testing of Tanakpur Jauljibi 2 lane motor road from chainage 30.600 KM to 55.000 KM constructed by P.I.U. Thuligarh, P.W.D., Tanakpur, Uttarakhand. The TPI included visual inspection of roads along with relevant quality tests to evaluate the quality of the roads. </t>
  </si>
  <si>
    <t xml:space="preserve">QCI has been entrusted by SSCL to conduct Third Party Inspections (TPI) of the works implemented under Saharanpur Smart city Limited with following scope of work:
1. Third Party inspection of buildings ranging from pumping stations, parking lots etc.
2. Third party inspection of roads and RCC pavements.
3. Third party inspection of bridges.
4. Third party of the miscellaneous developments works in the city of Saharanpur.
</t>
  </si>
  <si>
    <t xml:space="preserve">RRVUNL has awarded work to Quality Council of India for carrying out sampling and analysis of indigenous coal at their plant end. </t>
  </si>
  <si>
    <t>QCI has been contracted for setting up Project Management Unit (PMU) by PHED, Haryana on a chargeable basis to support activities under JJM for a tenure of 12 months from December 2023 to December 2024. The resource person shall be assigned tasks related to vetting of DPR and document assessment for PHED, Haryana including preparation of DPR, preparation of drawings, cost estimation, rate analysis, design specifications, HT&amp;LT panels and motors, etc. However, the resource has left QCI in May 2024 and until a new resource is provided to the client, this project is considered completed.</t>
  </si>
  <si>
    <t>To align with the objectives of the schemes of National Horticulture Board (NHB), QCI has been entrusted to conduct a Pan-India Third Party Evaluation of the NHB Scheme-I &amp; II for the FY 2019-20 to 2022-23 and FY 2023-24 in 2nd phase. Assessment of schemes I &amp; II of NHB, where first scheme is for development of Commercial Horticulture through Production and Post-Harvest Management of Horticulture Crops, and second scheme is for subsidy against Capital Investment Scheme for Construction / Expansion / Modernization of Cold Storages and Storages for Horticulture Products.</t>
  </si>
  <si>
    <t xml:space="preserve">Quality Council of India was envisioned for GoI's flagship in Jal Jeevan Mission in the UT of Lakshadweep to provide Third Party Inspection of schemes. QCI was given the responsibility of checking the quality of work executed by the agencies in Lakshadweep, quality of material used for construction and quality of machinery installed in each of scheme across all the islands of Lakshadweep where JJM works are in progress
In addition, carrying out inspection of all engineering works relating to civil, mechanical and electrical components executed under the schemes of JJM and providing reports containing the regular updates and progress of the overall schemes on inspection basis is provided to the Superintending Engineer, Lakshadweep Public
</t>
  </si>
  <si>
    <t>For the sixth consecutive award cycle, QCI has been entrusted with the responsibility of conducting end to end process of National Highways Excellence Awards.</t>
  </si>
  <si>
    <t xml:space="preserve">Conducting third party inspection of College of Agriculture and Technology at B.U.A.T Banda. The objective is to conduct a one-time structural stability analysis of the existing structures, visual inspections and perform a non-destructive test throughout the construction phase of the project in order to assess the quality of the existing and ongoing works. A total of 9 site visits shall be made by QCI during the construction period. </t>
  </si>
  <si>
    <t>To advance the goals of the Smart Cities framework and facilitate the effective functioning of Integrated Command and Control Centres (ICCCs), it is crucial for cities to adopt technology integration and implement digital resources. An independent assessment is therefore being planned to be conducted by engaging QCI in line with the 10 pillars outlined in the ICCC Maturity Assessment Framework (IMAF 2.0) to evaluate the efforts being made by cities to improve the efficiency and management of their ICCC operations and Impact of Use cases of ICCC in 100 Smart Cities</t>
  </si>
  <si>
    <t>Recognizing the critical importance of reliable educational data, the Government of Andhra Pradesh (GoAP) has highlighted the necessity for a comprehensive study to validate and ensure the accuracy of educational statistics in Nandyal district.</t>
  </si>
  <si>
    <t>To establish a robust and comprehensive  surveillance system along with CMS designed to address existing blind spot and limitations. This scalable system will be progressively implemented across all BIS laboratories in a five-phase approach , addressing facilities that currently lack any surveillance infrastructure.</t>
  </si>
  <si>
    <t>The Animal Husbandry Infrastructure Development Fund (AHIDF) is a distinctive and noteworthy initiative spearheaded by the Department of Animal Husbandry &amp; Dairying (DAHD). On 24th June 2020, during the crisis of COVID-19, the cabinet approved the establishment of AHIDF under the Prime Minister's Atma Nirbhar Bharat Abhiyan with a stimulus package of Rs. 15,000/- crore. QCI was entrusted with the evaluation of the scheme.</t>
  </si>
  <si>
    <t>Assessment of IEC Vans deployed under Viksit Bharat Sankalp Yatra to ensure compliance with Ministry Standards</t>
  </si>
  <si>
    <t>PMU's goal was to enhance coordination and extend the reach of VBSY to saturate the welfare schemes across India.</t>
  </si>
  <si>
    <t>Govt. of Maharashtra invited QCI to Engage Kaizen Institute SAIN LLP (India) for Capacity Building and Implementing Process Improvements at different offices of Govt. of Maharashtra. The scope of work will include the following:
• Process Improvements and Continual Improvement Capabilities (Kaizen techniques) for Organizational Capacity Building. 
• Streamline process for managing flow of Dak at CMO, Dy. CMO &amp; CRU (Central Registry Unit).
• Encourage use of e-office in home dept., Gen Admin dept., CMO &amp; Dy. CMO areas.
• Removal/ clearing of backlog of old files.</t>
  </si>
  <si>
    <t>GoI has introduced affordable staple products such as Atta, Rice, and Dal under the Bharat Brand to moderate the prices of important products and promote the welfare of consumers. QCI shall undertake a third-party assessment of the supply chain and the products to verify the product compliace norms, their weights, and customer perception.</t>
  </si>
  <si>
    <t>Assessment for checking the cleanliness standards at all depots &amp; buses under Gujarat State Road Trasnport Corporation(GSRTC).</t>
  </si>
  <si>
    <t xml:space="preserve">TANGEDCO has awarded work for carrying out quality analysis of coal at their port end. The objective of the project is ensuring precision, efficiency, and transparency while examining the coal's quality with the aid of the NABL and NABCB. </t>
  </si>
  <si>
    <t>NTPC has awarded work for carrying out quality analysis of coal at their mine end</t>
  </si>
  <si>
    <t>NUPPL has awarded work for carrying out quality analysis of coal at their plant end</t>
  </si>
  <si>
    <t>To evaluate the effectiveness and impact of the Credit Linked Subsidy Scheme (CLSS) under the Pradhan Mantri Awas Yojana (Urban) in addressing the housing needs of various segments of the urban households in India by reaching out to 30,000 CLSS beneficiaries and 10,000 non-CLSS beneficiaries.</t>
  </si>
  <si>
    <t>Third Party inspection of Electrical works carried out in 2023-24 and 2024-25 under Business Plan, System Augmentation/Strengthening work in different District, under Madhyanchal Vidyut Vitran Nigam (MVVNL) as Discom Quality Monitoring Agency (DQMA).</t>
  </si>
  <si>
    <t>GSECL has nominated Quality Council of India (QCI) for Quality analysis of coal at their plants end</t>
  </si>
  <si>
    <t xml:space="preserve">QCI is conducting sanitation assessments of 166 urban local bodies in the state of Gujarat in accordance with the MoHUA-developed Swachh Survekshan toolkit. The evaluation will consist of on-site verification, desktop evaluation, and on-call validation of various sanitation-related aspects. Assessment will be carried out in four phases. </t>
  </si>
  <si>
    <t>In line with the resolution taken during the National Food Ministers and UTs Conference on 5th July 2023, a grading mechanism for over 44,000 grain procurement centers (PCs) was introduced. Developed by the Quality Council of India (QCI), this maturity model aims to improve transparency, efficiency, and overall quality management at the grassroots level of grain procurement operations.
To drive this reform, QCI designed and implemented an innovative ICT-based initiative named Procurement Centre Self-Assessment Platform (PCSAP), that enables procurement centers to conduct self-assessments and determine their maturity levels. QCI also undertook extensive capacity-building efforts to ensure successful implementation across states.</t>
  </si>
  <si>
    <t xml:space="preserve">Third-party inspection service for Open GYM and Kids Play equipment’s to be installed in Govt. parks under Varanasi Development Authority. It is one of the kind project where park and open gyms inspection has been conducted. The aim of the project is to-
• Site visits for the TPQA of Civil/Mechanical component(s).
• Preparation and submission of Site inspection Reports.
• Quality Inspection of Materials installed as per contract specification.
• Review work executed on site as per TS, approved drawings and designs.
</t>
  </si>
  <si>
    <t xml:space="preserve">Singareni Collieries Company Limited (SCCL) has nominated Quality Council of India (QCI) for quality analysis of coal at their loading end. </t>
  </si>
  <si>
    <t>Steel Authority of India Limited has awarded work to Quality Council of India for carrying out sampling and analysis of coal at their mine end.</t>
  </si>
  <si>
    <t>Following the successful completion of Phase-1- “Review of Organizations and Central Sector Schemes under Ministry of Culture”, the Ministry requested QCI to undertake a Phase-2 of the study to support them in implementation of selected recommendations from Phase 1.</t>
  </si>
  <si>
    <t xml:space="preserve">QCI has been engaged by the Ministry of Culture to onboard professionals with a specific set of skills and set up a PMU under AKAM division, Ministry of Culture. </t>
  </si>
  <si>
    <t>The Ministry of Culture through its email dated 25th September 2025 requested Quality Council of India to support in Preparation of Strategic Plans &amp; Roadmaps for A Multi-Sector Group. The Quality Council of India to carry out the exercise will identify and develop cross-cutting levers across the involved sectors into an overarching strategy and to formulate concrete roadmaps &amp; plans to bring out their convergence and common governance priorities for the group.</t>
  </si>
  <si>
    <t>Third-Party Assessment of all four divisions (Chemistry, Bioassay, Medical Toxicology, &amp; Processing &amp; Packaging) of CIL Faridabad with respect to Infrastructure available, Infrstructure required, Work discharged by CIL, suggestions to established CIL as one of the best in present global scenario, suggestions to prevent/control adulteration in Insecticides/Pesticides, etc.</t>
  </si>
  <si>
    <t>QCI was entrusted to conduct TPI of Truck Mounted Water Sprinkler with Anti-Smog Gun PLC Based 03nos (10,000 Liters Capacity) for Using Treated Wastewater for Daily Sprinkling on Roads, Side Patries, Divider, Footpaths in Municipal Areas Along Major Roads &amp; Walls, Trees etc.</t>
  </si>
  <si>
    <t>APC Scheme of MoFPI aims to encourage entrepreneurs to set up food processing units based on cluster approach with modern infrastructure. QCI has been entrusted with the evaluation of the scheme.</t>
  </si>
  <si>
    <t>NTPC has nominated Quality Council of India (QCI) for quality analysis of coal at their mine end</t>
  </si>
  <si>
    <t>VSTF  reached out to Quality Council of India (QCI) for conducting an Impact Assessment Study across various Gram Panchayats (GPs) in 06 Districts. This includes impact and transformation brought by VSTF in the 12 GPs in 6 districts (Amaravati, Yavatmal, Gadchiroli, Raigad, Chandarpur &amp; Aurangabad) with NGO partners and through CMRDFs. To conduct the impact assessment, QCI and VSTF together shortlisted 04 indicators to critically assess and evaluate the progress made in GPs of 06 districts.  VSTF now wants to conduct a comparison study between VSTF and Non-VSTF villages</t>
  </si>
  <si>
    <t xml:space="preserve">QCI was entrusted to conduct TPI of Civil/Electrical works being executed by the Uttar Pradesh State Tourism Development Corporation Ltd. (UPSTDC). It is to perform inspections on projects associated with tourism department across Uttar Pradesh. </t>
  </si>
  <si>
    <t>The Quality Council of India (QCI) conducted a pan-India third-party evaluation (TPE) from September to December 2024, assessing the Ministry of Textiles' Raw Material Supply Scheme (RMSS) for 2021-24. This flagship initiative, implemented by the National Handlooms Development Corporation (NHDC), provides 15% price subsidies on natural fiber yarns and transport subsidies to handloom weavers. The evaluation, covering 676 beneficiary groups and 65 suppliers (statistically representative samples), employed document and transaction verifications, key informant interviews, and focus group discussions to: 
1.	Determine the scheme's effectiveness and efficiency, 
2.	Provide data-driven insights for policy refinement, and 
3.	Deliver a comprehensive report to inform future support for Indian handloom weavers.</t>
  </si>
  <si>
    <t>QCI has won this project in the competeive bidding for quality analysis of coal at the mine end of ABVPTS.</t>
  </si>
  <si>
    <t>To fulfil the objectives of the multi-sector group, QCI will be engaging a consulting agency with sectoral expertise to support in ‘Preparation of Strategic Plans &amp; Roadmaps for the Multi-Sector Group’.</t>
  </si>
  <si>
    <t>QCI was entrusted to conduct a one time survey of the quality of backlog waste lying in the trashing ground situated at Rampur Road</t>
  </si>
  <si>
    <t>QCI was entrusted to conduct Third Party Inspection of works other than JJM executed by PHED (Public Health Engineering Department) in the state of Haryana. QCI conducted 5 site inspections and have submitted the reports for the inspected sites. QCI will be receiving additional work from the department and the site inspection shall be conducted periodically.</t>
  </si>
  <si>
    <t xml:space="preserve">QCI collaborated as a third-party inspection body with the National Program Management Unit under the Ministry of Jal Shakti for a detailed evaluation of the scheme’s effectiveness in addressing groundwater management challenges and achieving its intended outcomes.
The project aims to evaluate the impact of the Atal Bhujal Yojana by assessing the awareness among local communities regarding water-efficient practices, community participation, and behavioral changes in groundwater management, as well as examining the adoption of sustainable water practices across seven states. </t>
  </si>
  <si>
    <t xml:space="preserve">QCI was entrusted to conduct a special technical investigation of the Government Inter College Mussoorie Ghaziabad which included structural analysis and NDTs.
</t>
  </si>
  <si>
    <t>The objective of this project is to monitor, assess, and verify compliance with project specifications, standards, and regulations to ensure the successful, timely, and high-quality completion of the redevelopment. Additionally, the TPQMA will identify any implementation gaps and provide recommendations for improvements, ensuring continuous monitoring and the potential for expansion to meet evolving project needs.</t>
  </si>
  <si>
    <t>Quality Council of India (QCI) has established a dedicated Project Management Unit (PMU) at the Bihar Institute of Public Administration and Rural Development (BIPARD) to provide comprehensive technical, engineering, and strategic support. This initiative aims to enhance BIPARD’s institutional capacity by assisting in infrastructure planning, project execution, and technical consultations across various engineering domains.
The PMU plays a crucial role in streamlining processes, improving operational efficiency, and ensuring high-quality outcomes in project implementation. The team, comprising highly experienced sector experts, brings deep domain knowledge in project management, quality assurance, and technical assessments. QCI provides guidance on best practices and ensures adherence to regulatory and quality standards.
Through continuous engagement and expertise-driven interventions, the QCI PMU supports BIPARD in achieving its objectives, strengthening institutional frameworks, and fostering quality-focused development in public administration and rural governance.</t>
  </si>
  <si>
    <t>To evaluate the impact of these schemes on targeted beneficiaries, sectors, and areas, conduct an output-outcome analysis, and assess implementation gaps by examining alignment with scheme design. Additionally, provide recommendations for improving implementation, continuing the schemes, and expanding their scope to cover additional sectors effectively.</t>
  </si>
  <si>
    <t>To ensure that all construction projects, including the Multistory Administrative Block, Academic Block for Health &amp; Allied Sciences, Teaching Block, Residential Staff Quarters, Hall of Residence, and Research &amp; Teaching Block, meet the required quality standards and specifications. QCI will independently inspect and monitor materials, methods, and finished work, ensuring compliance, identifying risks, and promoting transparency for successful project completion.</t>
  </si>
  <si>
    <t>We have been awarded work on nomination for Karnataka Power Corporation Limited (KPCL) for sampling, tesing and analysis of coal at all their plant ends</t>
  </si>
  <si>
    <t>We need to carry Non destructive testing of houses to assess their quality and structural stability. We have to give our reports to the client upon which client will decide the quality of structures.</t>
  </si>
  <si>
    <t>Qualitative analysis of coal at port end of SEPC</t>
  </si>
  <si>
    <t xml:space="preserve">QCI is engaged as an implementation partner by Ministry of Housing &amp; Urban Affairs (MoHUA) for the development of technology tool (IT portal, dashboard, mobile application) under Mission of Urban Poverty Alleviation to conduct the socio-economic profiling of 2.5 Cr. urban poor households (HHs) in next 5 years in 4500+ ULBs with focused interventions with urban vulnerable groups - Construction Workers, Transport Workers, Gig Workers, Domestic Workers, Waste Workers, and Care Workers. 
The project aims to:
•	Enhance social security entitlement of urban poor HH
•	Promote financial inclusion for vulnerable groups post identification through socio-economic profiling 
•	Access to central &amp; state welfare schemes through single window system 
•	Create baseline data of urban poor HH </t>
  </si>
  <si>
    <t>GujTour has engaged QCI to undertake a comprehensive organizational structuring. The primary objective is to create an organisation structure to make GujTour a master aggregator.This includes benchmarking against similar organizations, streamlining manpower allocation, and recommending strategies for improved operational efficiency and stakeholder management.</t>
  </si>
  <si>
    <t xml:space="preserve">•	QCI will conduct their final evaluation post the initial shortlisting conducted by the Government of Maharashtra
•	The evaluation will include Desktop Assessment, Field Assessment, Officials’ Interviews, Jury Evaluation for 53 offices in Phase 1 – Offices include District Collectors, Zilla Parishad CEOs, Divisional Commissioners, Municipal Commissioners, Superintendents of Police, Police Range IGs/DIGs, Police Commissioners, Commissioners/Directors, All Departments, ACS/PS/Sec
•	The evaluation will include Desktop Assessment, Field Assessment, Officials’ Interviews (for 8 Offices), Jury Evaluation for 458 offices in Phase 2 – Offices include District level offices, Divisional level offices, Corporations/Authorities </t>
  </si>
  <si>
    <t>The R&amp;B Department has engaged QCI to conduct a pilot assessment of guest houses in Ahmedabad. The objective is to evaluate their current condition, identify challenges and bottlenecks, and develop a Standard Operating Procedure (SOP) to align them with industry standards.</t>
  </si>
  <si>
    <t>Work Order Value</t>
  </si>
  <si>
    <t>Nomination</t>
  </si>
  <si>
    <t>Tender</t>
  </si>
  <si>
    <t>N/A</t>
  </si>
  <si>
    <t>Not fixed</t>
  </si>
  <si>
    <t>6,78,08,000 
(Jan'24 - March'25)</t>
  </si>
  <si>
    <t>Rs 50,40,000 (Exlcluding Taxes) from 1st April, 2025, to 30th September, 2025.</t>
  </si>
  <si>
    <t>Rs. 65,52,000 (Exlcluding Taxes) from 1st April,2025, to 31st March, 2026.</t>
  </si>
  <si>
    <t>Rs. 13,44,000 (Excluding Taxes)</t>
  </si>
  <si>
    <t>Gaurav Kumar</t>
  </si>
  <si>
    <t>Directorate of Evaluation (DoE), Govt. of Gujarat</t>
  </si>
  <si>
    <t>Irrigation</t>
  </si>
  <si>
    <t>TPA/TPE/TPI/TPQA</t>
  </si>
  <si>
    <t>Amrut 2.0 Projects Karnataka</t>
  </si>
  <si>
    <t>NLMC PMU</t>
  </si>
  <si>
    <t>Culture AKAM PMU 2</t>
  </si>
  <si>
    <t>PP00281</t>
  </si>
  <si>
    <t>PP00282</t>
  </si>
  <si>
    <t>PP00283</t>
  </si>
  <si>
    <t>Third Party Sampling, Testing &amp; Analysis of Coal</t>
  </si>
  <si>
    <t>Conducting Third-Party Assessment of selected products at ALIMCO's HQ and APCs. The annual assessment for ALIMCO's selected products is going on since 2018 wherein third-party assessment is being conducted at Kanpur and five Auxiliary Production Centers (APCs) of ALIMCO - Mohali, Ujjain, Jabalpur, Bhubaneswar and Bengaluru.</t>
  </si>
  <si>
    <t>Partnered with NHA to enhance patient satisfaction and to improve quality standards across the hospitals of the country by bringing a change in healthcare certifications through a unique digital certification initiative called ABPMJAY Quality Certification. Created a three-tier digital certification model (Gold, Silver and Bronze) for Ayushman Bharat with the aim of strengthening the healthcare ecosystem in India</t>
  </si>
  <si>
    <t>Department of Investment and Public Asset Management (DIPAM) deals with all matters relating to management of Central Government investments in equity including disinvestment of equity in Central Public Sector Enterprises(CPSE's). The three major areas of its work relates to Strategic Disinvestment, Minority Stake Sales and Capital Restructuring. All matters relating to sale of Central Government equity through offer for sale or private placement or any other mode as well as strategic disinvestment of CPSE's is dealt with in DIPAM. DIPAM is a Department under the Ministry of Finance.
• Project Monitoring: Professionals will have to monitor various transactions being carried out under the supervision of DIPAM. This will involve tracking progress, debottlenecking, stakeholder follow-ups.
• Due Diligence: Professionals will have to perform analysis on the feasibility of various ideas from strategic-financial perspective as and when required by DIPAM and produce ready reports for senior officials decision-making.</t>
  </si>
  <si>
    <t xml:space="preserve">Quality Council of India has been engaged as the Third-Party Verification Agency by the Department of Water Resources, River Development and Ganga Rejuvenation, Ministry of Jal Shakti, Government of India to carry out independent verification of results in accordance with pre-defined indicators of the scheme. 
1. Atal Jal is the first of its kind scheme in groundwater sector, which incentives the States for achieving 5 pre deﬁned targets linked to interventions for improved ground water management. QCI has formulated the methodology and verification protocols to assess the performance of seven implementing states on these 5 indicators. 
2. QCI conducts the verification process in accordance with the established protocols, in two ways - (a) the field assessment, where QCI has conducted surveys, community interviews and structure visits (check-dams, wells, ponds, water-saving interventions etc.); (b) desktop verification of the data collected, QCI has visited SPMU, CGWB and SGWD offices to procure the relevant data.  
3. QCI also conducts workshops in the seven implementing states to make them aware about the fundamentals of the assessment process, sensitize community people regarding water level and quality and encourage women and vulnerable group to actively take part in groundwater management. 
4. In addition to this, various key tasks of the TPGVA are establishing baseline data, data sampling, data monitoring and preparing performance reports with respect to achievement of performance indicator in the described time frame. 
</t>
  </si>
  <si>
    <t>QCI has been entrusted to conduct inspection of all engineering works (Civil, Electrical &amp; Mechanical), safety and labour payments related specifics as per the JJM guidelines. The aim is to provide recommendations post the Third-Party Inspection (TPI) in an efficient manner so that best quality is ensured for the water supply schemes, and access to safe and clean water is achieved</t>
  </si>
  <si>
    <t>Analysis and monitoring of grievances received on the CPGRAMS portal along with monitoring of resolution by Ministries/Departments, in order to report the status of CPGRAMS. The team prepares monthly reports on CPGRAMS which is shared with all the Ministries/Departments and State Governments by DARPG. Also, revamping of categorsation of select Ministries/Departments on the CPGRAMS Portal.</t>
  </si>
  <si>
    <t>QCI’s PMU supports DARPG in monitoring the Special Campaign for Disposal of Pending Matters (SCDPM) to expedite resolution of pendencies such as MP references, Parliamentary Assurances, and public grievances across Central Ministries/Departments. The PMU prepares monthly reports covering SCDPM progress, eOffice analytics, and IEDM initiatives, which are shared with Ministries/Departments by DARPG. The team also assists in the on-ground implementation of Special Campaigns within the Central Secretariat.</t>
  </si>
  <si>
    <t>The Quality Council of India (QCI) has been engaged by the Commissionerate of Rural Development, Government of Gujarat, to conduct a comprehensive state-wide assessment aligned with Swachh Survekshan Rural (SSR) parameters. As the Project Implementation Unit (PIU), QCI is responsible for end-to-end management of the assessment framework, which includes the deployment of 33 District Coordinators and 2 State-level Coordinators. The assessment covers key indicators such as household-level sanitation, solid and liquid waste management, access to community and institutional toilets, ODF-Sustainability, and citizen feedback. A special focus has been given to the evaluation of ODF Model Villages, examining their compliance with advanced sanitation and cleanliness benchmarks, community participation, and sustainable practices.</t>
  </si>
  <si>
    <t xml:space="preserve">Under the initiative "Jal is Amrit", the Quality Council of India (QCI) conducted a phase-wise assessment of Sewage Treatment Plants (STPs) across selected Urban Local Bodies. The objective was to evaluate the functionality, sustainability, and overall operational efficiency of STPs as critical infrastructure for urban wastewater management.
The assessment was carried out using a structured framework covering key parameters such as technology deployed, human resource adequacy, maintenance practices, treatment efficiency, power backup systems, and compliance with discharge norms. This initiative supported evidence-based evaluation and highlighted systemic improvements required for optimized functioning of urban wastewater infrastructure.
</t>
  </si>
  <si>
    <t>The Quality Council of India (QCI) was entrusted with assessing the quality of capacity-building trainings conducted under the Atal Bhujal Yojana (ABHY)—a flagship groundwater management program of the Ministry of Jal Shakti. The assessment covered training programs delivered at the Gram Panchayat (GP) level across 7 states: Gujarat, Haryana, Karnataka, Madhya Pradesh, Maharashtra, Rajasthan, and Uttar Pradesh.
The purpose of this exercise was to evaluate the effectiveness, inclusivity, content relevance, and impact of these trainings using structured tools and a multi-stakeholder approach. Feedback was collected from:
- Trainees (citizens)
- Facilitators
- Trainers
- Independent Assessors
The evaluation focused on six key Key Performance Indicators (KPIs):
1. Trainer competency and training content quality
2. Engagement and inclusivity during sessions
3. Training material and learning resources
4. Community outreach and post-training impact
5. Infrastructure and logistical arrangements
6. Feedback and success stories</t>
  </si>
  <si>
    <t xml:space="preserve">The project aims to ensure compliance with OSCSC and KMS operational standards across 1409 empaneled mills and 1,409 procurement centers in Odisha by conducting a verification of mills and spot checks at procurement centers. Quality Council of India (QCI) has partnered with OSCSC to paddy procurement centres, evaluating the availability of vital, essential, and desirable facilities that contribute to efficient and transparent procurement operations.
Additionally, QCI is supporting OSCSC in verifying:
• Physical stock reconciliation of paddy and rice stored at mills through on-ground verification.
• Energy consumption analysis for stock verification, ensuring accuracy in reported stock levels 
• Maturity assessment of empanelled mills, categorizing them into modernized, conventional, and semi-modern based on their infrastructure and milling practices.
</t>
  </si>
  <si>
    <t>To address the concerns regarding the adulteration, declining quality, and misbranding of packaged edible oils sold in the Indian market, the Quality Council of India (QCI), conducted a comprehensive nationwide survey. The core objective of this survey was to assess the adherence of packaged edible oils to established quality, safety, and labelling standards across India. 
The project specifically aimed to:
• Evaluate adherence of packaged edible oils with the quality, safety, and labelling regulations as per the FSSR.
• Determine parameter-wise adherence of collected edible oil samples across different geographical regions of India. This involved the collection of samples from 12 edible oil product categories across 250 city/district(s) covering all 36 State/UT(s). The collected samples were tested for parameters including Adulterants, Crop Contaminants &amp; NOTS and General/Proximate Analysis, and Heavy Metals. Furthermore, the data were analysed to derive valuable insights.</t>
  </si>
  <si>
    <t>The objective of the project is to setup a PMU to develop the drafts of a new policy and a new central sector scheme which addresses the needs of the Creative &amp; Cultural Economy of India, and targets arts &amp; culture practitioners.</t>
  </si>
  <si>
    <t>The assessment was carried out using a structured framework covering key parameters such as technology deployed, human resource adequacy, maintenance practices, treatment efficiency, power backup systems, and compliance with discharge norms. This initiative supported evidence-based evaluation and highlighted systemic improvements required for optimized functioning of urban wastewater infrastructure.</t>
  </si>
  <si>
    <t>The Quality Council of India (QCI) is currently engaged with Bhopal Municipal Corporation (BMC) as a City Technical Support Unit (CTSU) to provide strategic and operational support for the effective implementation of various centrally sponsored urban development schemes under the Ministry of Housing and Urban Affairs (MoHUA). This includes enhancing the city’s performance in areas such as water supply and sewerage management, improving sanitation infrastructure under the Swachh Bharat Mission-Urban (SBM-U), reducing non-revenue water through district metered areas (DMAs), and supporting the rejuvenation of traditional water bodies. QCI’s team works closely with BMC officials to monitor progress, ensure compliance with service level benchmarks, strengthen institutional capacity, and drive evidence-based decision-making through regular field validations, reporting, and inter-departmental coordination.</t>
  </si>
  <si>
    <t>As part of the Swachh Bharat Mission – Urban, the Ministry of Housing and Urban Affairs (MoHUA) has mandated third-party verification of claims made by Urban Local Bodies (ULBs) under the Open Defecation Free (ODF), ODF+/++, Water+, and Garbage Free City (GFC) protocols. The Quality Council of India (QCI) has been entrusted to conduct these assessments across the country.
This project involves deploying trained assessors to conduct comprehensive field-level evaluations of sanitation infrastructure, waste management practices, and community engagement in ULBs. The assessments are conducted through physical verification, stakeholder interactions, photographic documentation, and evidence-based validation of service delivery standards. The process ensures transparency, objectivity, and consistency in certifying cities and towns as ODF or GFC compliant, thereby supporting MoHUA’s vision of achieving sustainable urban sanitation and waste management.</t>
  </si>
  <si>
    <t>The Quality Council of India through its diagnostic study of the organizations and Central Sector Schemes provided detailed recommendations to the Ministry to streamline and reorient the schemes to optimize resources for maximum impact and help the Ministry align its schemes with its broader mission. In order to streamline the monitoring &amp; management of schemes under the Performing Arts bureau and implement select recommendations, the Ministry of Culture requested the Quality Council of India to set up a Project Management Unit (PMU). 
Professionals working in the PMU will ensure timely delivery of tasks and primarily work on the areas as defined by the officials in charge at the PM Division, Ministry of Culture.</t>
  </si>
  <si>
    <t>*KESCO DTs*
The objective of the assignment is to conduct technical valuation and independent assessment of distribution transformers declared as uneconomical, non-repairable, obsolete in technology, or damaged. The scope of work includes inspection and evaluation of such transformers to determine their condition, categorization, and suitability for scrapping or reuse; estimation of recoverable material weight such as copper, aluminium, brass, tank components, and MS iron; and reporting on the quality and quantity of dismantled components. All required tools, tackles, and labour support shall be provided by KESCo, while QCI shall carry out the work of Third party Quality Inspection</t>
  </si>
  <si>
    <t>*Nagar-Nigam Mathura Vrindavan – TPI*
The Quality Council of India (QCI), as the appointed Third-Party Inspection Agency (TPIA), is responsible for conducting comprehensive inspection and quality assurance of civil and electrical works for the redevelopment of Govind Nagar Road under the CM-GRID scheme in Mathura-Vrindavan. The objective of QCI's engagement is to ensure adherence to approved specifications, drawings, BIS codes, and applicable standards through systematic site inspections, monitoring of materials and workmanship, validation of testing procedures, and verification of safety and environmental compliances. QCI is tasked with reviewing construction processes, maintaining quality control documentation, providing technical advice, and reporting discrepancies along with corrective recommendations. The inspections encompass both material and execution aspects, including sample testing, calibration verification, and final compliance reporting, thus supporting transparent, safe, and technically sound project implementation.</t>
  </si>
  <si>
    <t>*Third-Party agency for inspection/testing and quality monitoring system of various ongoing construction and development works under Bareilly Development Authority*
The Third Party Quality Assurance agency is undertaking independent quality surveillance for construction and infrastructure development projects under the Bareilly Development Authority (BDA) across the Bareilly Master Plan area. It is conducting random and periodic quality checks of civil, structural, and MEP works in accordance with relevant UP PWD, CPWD, MORTH, and IS standards from project inception through completion. This involves collecting samples, testing them in the laboratory, performing site inspections, and preparing detailed reports to monitor compliance with specifications. The agency is assisting BDA in setting up a dedicated testing laboratory, coordinating with contractors for timely quality inspections, and recommending corrective measures for quality improvements. The consultant is deploying an experienced field quality surveillance team to ensure rigorous monitoring and maintain high standards of workmanship throughout all ongoing and proposed projects.</t>
  </si>
  <si>
    <t>The evaluation will focus on assessing the success of the scheme in achieving its objectives in Gujarat, examining the outcomes, implementation efficiency, and measuring the overall impact of the scheme with following scope of work:
# Assessment of the effectiveness of the scheme in achieving the set targets.
# Identifying challenges in implementation and recommend improvements.
# Impact assessment on the socio-economic status of the beneficiaries of the scheme/ programme.
# Budget Allocation vs Budget Utilization across districts for at least last 5 years.</t>
  </si>
  <si>
    <t>*KESCO BD*
The primary objective of the engagement is to assist Discom in ensuring the delivery of reliable, safe, and quality power supply to consumers by independently verifying that the construction, strengthening, and O&amp;M works in the power distribution network are executed in compliance with applicable technical specifications, standards, and safety norms. As the appointed Third Party Inspection Agency (TPIA), the Quality Council of India (QCI) shall be responsible for inspecting and reporting on the quality of works, workmanship, and materials used in projects across all schemes undertaken by Discom. This includes but is not limited to inspections as per Field Quality Plans, technical specifications, and approved drawings; submission of site-specific inspection reports and ratings; conducting joint inspections where applicable; reviewing documentation such as BoQs, measurement books, agreements, and ERP data entries; and verifying adherence to electrical safety protocols. QCI will also be required to upload field reports on Discom’s ERP system, support quality enhancement efforts by suggesting improvements, and deploy qualified inspectors for timely and rotation-based site visits across the Discom’s jurisdiction. All inspections will be conducted based on issued work orders, with reports submitted within defined timelines and inspection activities executed on a man-day basis as per the nature of work.</t>
  </si>
  <si>
    <t>Under the Swachhta Hi Seva Hai initiative, a comprehensive community outreach program was successfully conducted, encompassing a cleanliness drive across four strategic locations and tree plantation at two sites, promoting environmental sustainability. Additionally, an inter-divisional cricket match among Solid Waste Management divisions fostered teamwork and camaraderie, reinforcing the initiative's mission to enhance community engagement, cleanliness, and eco-friendliness.</t>
  </si>
  <si>
    <t>1. The Quality Assessment of Biogas marked a pivotal advancement in ensuring the quality of biogas production. The pilot project established a standardized methodology for evaluating biogas quality, with rigorous testing confirming compliance with IS 16087 standards. Sampling and analysis by NABL-accredited laboratories validated high methane content and low impurities.</t>
  </si>
  <si>
    <t>More than the required feedbacks were collected (nearly 104%) by QCI from across the Indian States/Uts barring six States/UTs namely Odisha, Lakshadweep, Mizoram, Manipur, Chandigarh and Puducherry as either we did not received support from the State or Direct Benefit Transfer (DBT) is applicable or due to civic unrest. The overall result come out to be positive.</t>
  </si>
  <si>
    <t xml:space="preserve">Narrative analysis questionniare been developed and interviews conducted for beneficiaries who received funds from SILF to understand the in-depth impact. The final report with analysis has been submitted. </t>
  </si>
  <si>
    <t xml:space="preserve">Restoration of 25% of the workforce at the National Library
Designing structure of a proposed digital department that can effectively help preserve 2+ million books 
Developed detailed KRAs of 500+ posts at the National Library 
</t>
  </si>
  <si>
    <t>The impact extends beyond technical compliance. Enhanced biogas quality supports national clean energy goals, reduces dependence on fossil fuels, and mitigates greenhouse gas emissions. It also leads to improved energy efficiency, lower operational costs, and strengthened sustainability efforts</t>
  </si>
  <si>
    <t xml:space="preserve">QCI has executed around 4,770+ tripartite agreements among the coal companies and 370+ coal consumers for facilitating the Third Party Sampling of coal (TPS). QCI has commenced it’s operations at 320+ loading/dispatch points across the CIL subsidiaries. More than 707.27 Million Metric Tonnes of coal has been sampled since the inception and analysis results submitted within the 15 working days as per the service level agreement. </t>
  </si>
  <si>
    <t xml:space="preserve">The annual assessment for ALIMCO's selected products is going on since 2018 wherein third-party assessment is being conducted at Kanpur and five Auxiliary Production Centers (APCs) of ALIMCO - Mohali, Ujjain, Jabalpur, Bhubaneswar and Bengaluru. Assessments at all six locations of ALIMCO APC has been completed and reports have also been submitted. </t>
  </si>
  <si>
    <t xml:space="preserve">After an intensive quality check of service providers, 395003 service providers have been assessed, with 2,71,989 being approved and 1,23,014 being rejected on the basis of invalid compliance certificates and/or project experience details. In addition to that, 65,006 requests have been assessed with 30,450 vendors being exempted while 34,556 were rejected during validation of the vendors registering under the exemption category of vendor assessment (i.e. NSIC, BIS, PSU, Societies/Trust and Recommended by govt. authority) till Dec'23. </t>
  </si>
  <si>
    <t>We have created a three-tier digital certification model (Gold, Silver and Bronze) for Ayushman Bharat with the aim of strengthening the healthcare ecosystem in India; and certified 366 hospitals (Gold: 157, Silver: 140, Bronze: 69)</t>
  </si>
  <si>
    <t>The key transactions the team was involved in during the last two quarters: 
1)OFS - Mazagon Dock (April 2025) , Hindustan Zinc (Nov 2024) 
2)Organization of the Leader Communication Workshop for top management of the CPSEs in partnership with CBC on 17th Jan 2025.</t>
  </si>
  <si>
    <t xml:space="preserve">A total of 348813 fish carrying vehicles screened since inception </t>
  </si>
  <si>
    <t>A total of 18,165 OEM assessment applications including domestic and international assessments covering countries like the USA, Canada, Singapore, Malaysia, and Japan, among many others and 1,877 Reseller applications have been completed and project closure is being discussed at the client end.</t>
  </si>
  <si>
    <t>A total volume of 16.00 Million Metric Tonnes of Coal has been sampled since the inception.</t>
  </si>
  <si>
    <t>A total volume of 23.29 Million Metric Tonnes of Coal had been sampled since the inception</t>
  </si>
  <si>
    <t>A total volume of 50.45 Million Metric Tonnes of Coal had been sampled since the inception</t>
  </si>
  <si>
    <t xml:space="preserve">QCI completed the 9 rounds of TPGVA Verification Cycle, which covered DLI#1, DLI#2, DLI#3, DLI#4, and DLI#5 scheduled from October 2020 to February 2025. During the verification rounds, QCI as a Third-Party Govt. Agency (TPGVA) carried out independent verification of Gram Panchayats in the 7 States. After the completion of the assessments, QCI successfully submitted  TPGVA verification reports in each round to M/o Jal Shakti. 
• These verifications covered DLI#1 to DLI#5, focusing on groundwater monitoring, community participation, demand/supply-side interventions, and data disclosures.
• 20% of submitted Gram Panchayats in each round were independently verified, including desktop assessments and on-ground assessments.
• Desktop Verification Highlights:
 - DLI#1 &amp; DLI#5: Verified state-submitted data on water levels, quality, and observation well monitoring.
- DLI#2: Assessed community involvement in Water Security Plan (WSP) preparation.
- DLI#3 &amp; DLI#4: Validated documents on demand-side (e.g., drip/sprinklers) and supply-side (e.g., tanks, check dams) infrastructure.
2. Field verification Highlights:
1)Interacted with 1,50,000+ citizens, visited 10,000+ GPs, and inspected 15,000+ sites.
2) Public disclosures like wall paintings, fixed displays, and signage boards used to disclose data related to the water quality and water level
3) Community Participation WSP - QCI evaluated community participation in Gram Panchayats during the formation of WSPs through interviews
4) Demand side interventions like drip, sprinkler, and underground pipeline, along with the beneficiary interaction 
5) Supply side structures like ponds, check dams, water tanks, recharge trenches/shafts/pits/wells, etc. 
6) Interviews were conducted with citizens to assess the level of awareness generation, inclusivity, scheme implementation and efficiency.
7) Observation wells like dug wells, tube wells, and piezometers, were used to evaluate their availability, accessibility, and functionality within the Gram Panchayats. In addition, interviews with community members were conducted to assess awareness and understand changes in groundwater levels.
• QCI submitted detailed TPGVA verification reports after each round to the Ministry of Jal Shakti, supporting transparent implementation, accountability, and result-based disbursement.
</t>
  </si>
  <si>
    <t>QCI as an implementation partner of the scheme has developed a web portal, public dashboard and mobile application to capture and reflect the profiling data. Till date, 45,86,503 PM-SVANidhi beneficiaries and 96,63,258 family members have been profiled. 1,33,86,057 scheme linkages have been sanctioned to the profiled beneficiaries &amp; family members. QCI has also integrated ‘Image Recognition Artificial intelligence’ with ‘SVANidhi Se Samriddhi’ portal for capturing and validating street vendor photographs during profiling. The functionality was tested, and pilot was conducted in two ULBs and now the same is live in all 3,612 ULBs. “SVANidhi Bhi, Swabhiman Bhi” Pakhwada was launched from 18th Nov 24 - 2nd Dec 2024. The programme will be implemented in 4500+ ULBs in the upcoming months. “SVANidhi Se Samriddhi” monthly camps will be organized in 3,612 ULBs from 2nd to 7th June 2025.</t>
  </si>
  <si>
    <t>The outcome highlighted gaps between current and desired practices, provided ratings based on collected evidence, and offered recommendations to enhance warehouse practices where out of the 2147 assessed warehouses. Out of 2147 assessed warehouses, 149 warehouses scored 5-star, 969 scored 4-star, 836 scored 3-stars, 184 scored 2-stars &amp; 9 warehouses scored 1-star.</t>
  </si>
  <si>
    <t xml:space="preserve">1.	Standardized Quality Compliance:
1.1.	Ensured that all OCs met stringent quality benchmarks, including ISO 13485 or ICMED 13485 certification, verified through NABCB-accredited certification bodies.
1.2.	Manufacturers adhered to structured testing and validation protocols to maintain product reliability.
2.	Robust Testing Mechanism:
2.1.	Every model underwent type testing and evaluation at NABL-accredited external testing laboratories.
2.2.	100% routine testing was conducted at manufacturer facilities with calibrated in-house testing benches.
2.3.	The sampling methodology followed IS 2500, ensuring statistically valid inspection by attributes.
3.	Enhanced Transparency and Traceability:
3.1.	A structured on-site third-party inspection was conducted, focusing on documentation review, sample identification, and physical verification.
3.2.	This approach minimized discrepancies and ensured accountability throughout the supply chain.
4.	Nationwide Manufacturer Oversight:
4.1.	Inspections were carried out across eight key manufacturing hubs (Bangalore, Coimbatore, Hyderabad, Visakhapatnam, Solan, Aligarh, Manesar, and Pune).
4.2.	This ensured uniform compliance across diverse production facilities, fostering quality consistency.
5.	Efficient Procurement Process:
5.1.	By integrating systematic quality assurance steps, QCI helped streamline ONGC’s procurement process.
5.2.	The structured verification approach reduced risks of defective products, ensuring timely delivery of reliable OCs.
</t>
  </si>
  <si>
    <t>A total of 4.76 Million Metric Tonnes of coal has been sampled since the inception</t>
  </si>
  <si>
    <t>Currently, QCI is entrusted with Third Party Inspection responsibility of three circles namely, Una, Bilaspur and Nurpur. 97% of allotted schemes of JJM Himachal Pradesh have been partially inspected by QCI. A total of 122 schemes have been partially/completely inspected till date. Out of a total Award Value of Rs. 359 Crores, Inspection of Works worth a value of Rs. 287 Crores has been completed.</t>
  </si>
  <si>
    <t>A total volume of 4.73 Million Metric Tonnes of Coal has been sampled since the inception.</t>
  </si>
  <si>
    <t xml:space="preserve">Under the "Survey of Water Bodies" project, QCI assessed approximately 474 water bodies across 20 blocks of Jammu district (J&amp;K). The survey involved geo-mapping each water body, assigning a unique identification code, and capturing detailed topographical information to support effective planning and monitoring.
The collected data is being visualized through a dedicated dashboard to ensure broader accessibility and informed decision-making by stakeholders.
Based on its findings, QCI has recommended the inclusion of a comprehensive rejuvenation plan for each water body, covering all critical parameters necessary for their sustainable restoration and long-term conservation. </t>
  </si>
  <si>
    <t>Due to lack of funds by the department, Project was closed by client.</t>
  </si>
  <si>
    <t>Assessed 2229 FCI warehouses on parameters of infrastructure, operation and safety standards across 33 States &amp; UTs. 492 FCI warehouses re-assessed to track the status of improvement and upgradation of facilities.</t>
  </si>
  <si>
    <t xml:space="preserve">The data collected by QCI was made public in NIUA's forum making it one of its kind repository for public (including academacians, researchers etc.). Also, gaps of each city were evaluated on which Ministry has further drafted its plan of action in different spheres. </t>
  </si>
  <si>
    <t xml:space="preserve">Currently, QCI is conducting the assessment of 382 allotted schemes from 20 Districts of Haryana which are Sonipat, Jind, Sirsa, Rewari, Dabwali, Fatehabad, Ambala, Panipat, Bhiwani, Charkidadri, Hisar, Jhajjar, Kaithal, Karnal, Kurukshetra, Nuh, Palwal, Panchkula, Rohtak and Siwani. So far, QCI has completed the inspection of over 332 schemes. 231 Schemes were found completed at physical progress of 100% as inspected by QCI. </t>
  </si>
  <si>
    <t>Outcome: 
• Understanding the sector involved secondary research and literature review of independent studies conducted on sector, institutions &amp; schemes
• Review of previous committee reports, and thorough categorisation of persisting issues highlighted across reviews, response of government and subsequent actions.
• International Case studies to understand global success stories involving various types of approaches to funding, unique initiatives, branding techniques across different sub-sectors, government efforts
• Review of 43 Organizations to dive deep into governance, administrative processes, human resources, and performance in delivery of objectives.
• Review of Central Sector Schemes
• Organizing a Chintan Shivir for the Ministry
Impact: 
• A 2-day Chintan Shivir was organized on 6th - 7th April 2023 at Pt. Deen Dayal Upadhyaya Institute of Archaeology in Greater Noida to connect with all institutes &amp; agencies of MoC, underline priorities, and re-imagine their role in protection, preservation &amp; promotion of India’s Arts, Culture &amp; Heritage. The two-day deliberation session witnessed participation from approximately 150 people encompassing State Ministers, Ministry officials, senior representatives from 43 organisations, intergovernmental organisations, and public and private sector experts.
• Reviewed and proposed suggestions to enhance Central Sector Schemes affecting 15,000+ beneficiaries</t>
  </si>
  <si>
    <t>A total volume of 10.04 MMT has been sampled since the inception.</t>
  </si>
  <si>
    <t>From May, 2022, to April, 2025, PMU Team has assisted the department in publishing 36 CPGRAMS Monthly Reports for Central Ministries/Departments and 33 CPGRAMS Monthly Reports for States/UTs from August 2022 to April 2025, CPGRAMS Annual Reports for the year 2022, 2023 and 2024, highlighting the key reforms undertaken by the department in the last three years.
The team is currently working on revamping the categorisation mapped on the CPGRAMS Portal.</t>
  </si>
  <si>
    <t>The PMU team has played a pivotal role in driving Secretariat Reforms and Swachhata initiatives by reviving review meetings with 84 Ministries/Departments, ensuring sustained focus on reform priorities. Through proactive social media engagement, including targeted tweets, awareness and participation in Swachhata Pakhwada have been significantly enhanced. The team has also released 21 monthly reports on 'Secretariat Reforms', providing valuable insights into the progress of Ministries/Departments in cleanliness efforts, pendency reduction, decision-making efficiency, and eOffice adoption. Additionally, four Special Campaign Assessment Reports have been published, capturing the far-reaching impact of the campaigns across more than 11 lakh office sites from 2021 to 2024.</t>
  </si>
  <si>
    <t>The award cremony was held on 6th February 2024 in the gracious presence of Sh. Nitin Gadkari, Hon’ble Minister, Road Transport &amp; Highways and Gen. (Dr.) V.K. Singh (Retd.), Hon'ble Minister of State, Road Transport &amp; Highways and Civil Aviation, who felicitated 12 award winners across 6 award categories.</t>
  </si>
  <si>
    <t>QCI has sampled more than 2.73 Million Metric Tonnes of Coal in these projects</t>
  </si>
  <si>
    <t>QCI conducted a Third-Party Verification of trainees enrolled under the Primary Skill Development Programme (PSDP) at the Central Footwear Training Institute (CFTI), Agra, for the financial year 2019–20. This initiative falls under the Human Resource Development (HRD) sub-scheme of the Indian Footwear and Leather Accessories Development Programme (IFLADP).
The verification exercise revealed multiple irregularities in the implementation of the training program. Overall lapses were found to have significantly impacted the effectiveness of the program, resulting in employment generation figures that were considerably lower than those claimed by CFTI Agra.
In light of these findings, DPIIT initiated an internal inquiry and subsequently suspended further implementation of the scheme at the concerned institute.</t>
  </si>
  <si>
    <t>A total volume of 2.76 Million Metric Tonnes of Coal has been sampled since the inception.</t>
  </si>
  <si>
    <t>The project assessed DPIIT’s organizational effectiveness, functions, and stakeholder perceptions, identifying key gaps and areas for improvement. Through extensive consultations, it provided recommendations to enhance administrative systems, leverage technology, and drive capacity building. An implementation plan was shared, mapping these recommendations to relevant sections. The study also proposed creating a baseline standard for certifying quality and agility in service delivery across ministries. A meeting is planned with the Additional Secretary, DPIIT, to finalize the way forward.</t>
  </si>
  <si>
    <t>1.	Product Integrity &amp; Compliance – 100% adherence to prescribed standards, reducing defect rates and enhancing durability.
2.	Improved Student Experience – Ensuring that 33.75 lakh students across 49,190 schools in 26 districts receive high-quality learning materials, contributing to better learning outcomes.
3.	Operational Efficiency – Strengthening procurement mechanisms through proactive testing and quality checks, reducing rejections and delays.
4.	Governance &amp; Trust – Enhancing transparency and accountability in public procurement, reinforcing stakeholder confidence in the initiative.</t>
  </si>
  <si>
    <t>A total volume of 0.357 Million Metric Tonnes has been sampled since the inception.</t>
  </si>
  <si>
    <t>QCI conducted a Third-Party Verification of trainees enrolled under the Primary Skill Development Programme (PSDP) at the Central Footwear Training Institute (CFTI), Chennai, for the financial year 2019–20. This initiative falls under the Human Resource Development (HRD) sub-scheme of the Indian Footwear and Leather Accessories Development Programme (IFLADP).
The verification exercise revealed multiple irregularities in the implementation of the training program. Overall lapses were found to have significantly impacted the effectiveness of the program, resulting in employment generation figures that were considerably lower than those claimed by CFTI Chennai.
In light of these findings, DPIIT initiated an internal inquiry and subsequently suspended further implementation of the scheme.</t>
  </si>
  <si>
    <t>To track the status of improvement and of upgradation by the FCI warehouses based on QCI recommendations</t>
  </si>
  <si>
    <t>The purpose of the project is to :
 1. To Assess Functionality of the STP
 2. NDT testing of STP
 3. Recommendation for rennovation of STPs
 4. To Assess STP Fire and Saftey protocols
 5. Funcunality of SCADA and OCEM systems</t>
  </si>
  <si>
    <t xml:space="preserve">QCI made a monthly inspection visit throughout the construction period in Varanasi and so far, QCI has submitted 12 inspection reports consisting of general observations, defects &amp; deficiencies along with recommendations to the client. </t>
  </si>
  <si>
    <t>Issued official guideline to 100 Smart city on how they improvise the infra for more safer and secure enviroment in cities</t>
  </si>
  <si>
    <t>Field assessment of 3751 ULBs is completed for ODF and assessment of 2069 ULBs of GFC is completed.</t>
  </si>
  <si>
    <t>Project completed in May 2023.</t>
  </si>
  <si>
    <t>The NeSDA Way Forward PMU published 24 monthly reports dedicated to strengthen the e-service delivery with special emphasis on saturation of mandatory e-services and unified service delivery portals. Conducted an exhaustive sector-wise analysis of approximately 16,000 e-services across all States/UTs. In April 2025, 20,638 e-services were being provided across states/UTs as compared to 11,614 e-services in April 2023, resulting in ~78% rise. Facilitated 10 National e-Governance Webinars, showcasing award-winning initiatives, with participation from over 1000 officials.</t>
  </si>
  <si>
    <t>For the construction of a total of 9 Residential Towers of G + 20 floors and 4 nos of commercial towers, QCI has deployed manpower at the site to supervise the ongoing construction of Commercial towers. The construction of residential towers is expected to commence in due time. The inspection of the Residential complex would be set in motion once its construction begins.</t>
  </si>
  <si>
    <t>The project enabled Bhopal Municipal Corporation to gain a comprehensive understanding of its compliance with water supply and service level benchmarks, improving governance and operational practices. It facilitated the identification of gaps in sewage and water treatment plant performance and supported the reduction of non-revenue water through DMA-based strategies and targeted training. The assessment also provided actionable insights for the rejuvenation of traditional water bodies and wells, while strengthening mechanisms for the collection, treatment, and reuse of treated wastewater, thereby enhancing the city's overall water management preparedness for Pey-Jal Survekshan.</t>
  </si>
  <si>
    <t xml:space="preserve">• Assessed 2,570 ULB applications on the portal
• Finalized assessment of 1,596 ULBs and verification of 1,597 ULBs.
• Finalized 1,596 ULB applications for rankings
• Re-verified the data and addressed the data flags for 1,400+ ULBs.
• Conducted 25 online training across 16 States and offline training in 5 States covering 1,200+ ULBs
• The participation of municipalities in ‘City Finance Rankings’ was closed at 2,570 ULBs
• Undertook cold calling of 3,000+ ULBs
• Conducted social media campaigns, created WhatsApp groups for ULBs, and conducted outreach programs across 21 states
</t>
  </si>
  <si>
    <t>A total of 700+ JMCs have been completed including Site Inspection and Compliance. All the Inspection Reports have also been successfully submited to the MD.</t>
  </si>
  <si>
    <t>So far, QCI has conducted 6 site visits and a detailed report consisting of general observations, defects &amp; deficiencies along with recommendations has been submitted to the client.</t>
  </si>
  <si>
    <t xml:space="preserve">The assessment involved conducting in-person interviews with two SHOs/SIs (KIIs) and five police constables at each police station who regularly engage with the public at the concerned police stations. Additionally, a Citizen Perception Survey and Focused Group Discussions (FGDs) were conducted to gather perspectives and insights from the community.
The data collected was then analysed and the report was submitted to the client. </t>
  </si>
  <si>
    <t>QCI has completed desktop and field assessment. The winners were announced on 2nd March 2024.</t>
  </si>
  <si>
    <t>1.) Level of understanding, awareness and perception of the stakeholders towards the proposed recommendations according to theme-wise.
2.) A detailed report on the analysis of the citizen feedback of both complainants and general public.
3.) State-wise customized evaluation reports consisting of theme wise rankings.
4.) A final report consisting of nation-wide rankings as per themes to be shared at the completion of project.</t>
  </si>
  <si>
    <t>Evaluation of all 40 Departments in the Gov. of Maharashtra with the objective of Implementation of the Maharashtra Manual of Office Procedure, 2023 has been completed. The pilot exercise for this study was conducted in 2 departments of the Maharashtra Mantralaya namely the Rural Development Department and Revenue Department. Based on the Pilot Study, certain changes were incorporated in the Questionnaire created by QCI.</t>
  </si>
  <si>
    <t>Following the outcomes and recommendations of the Third-Party Evaluation of the PMRF scheme, the Ministry of Education has extended the Prime Minister’s Research Fellowship (PMRF) scheme for an additional five years. This extension paves the way for the inclusion of 10,000 more Ph.D. scholars, thereby strengthening the research and development ecosystem in the country’s top 25 NIRF-ranked institutions, including IISc, IITs, IISERs, NITs, and Central Universities.
In addition, QCI has recommended the introduction of a similar initiative to foster a robust post-doctoral research culture in India, proposing the launch of a potential scheme such as the Prime Minister’s Post-Doctoral Fellowship (PMPDF) in the near future.</t>
  </si>
  <si>
    <t>The outcome highlighted gaps between current and desired practices, provided ratings based on collected evidence, and offered recommendations to enhance warehouse practices where out of the 376 assessed warehouses, 103 received 5-star rating, 231 received 4-star rating, 38 received 3-star rating, 3 received 2-star rating and 1 received 1-star rating.</t>
  </si>
  <si>
    <t xml:space="preserve">QCI has been making a monthly visit for site inspection and so far, we have submitted 10th inspection reports consisting of general observations, defects &amp; deficiencies along with recommendations to the client. </t>
  </si>
  <si>
    <t xml:space="preserve">
The TPI was done in 2 phases for civil constructions &amp; electrical/ electronic works. QCI team has concluded both phases of inspection which included documents review along with visual inspection and non-destructive test. QCI also received additional work locations (for TPI) from the client and has successfully concluded the site inspections and submitted the reports consisting of general observations, defects &amp; deficiencies with recommendations to the client.</t>
  </si>
  <si>
    <t xml:space="preserve">1.	Challenges in Application Process
1.1.	Users faced difficulties in applying for Part B of the IEM certificate due to the lack of clear SOPs and walkthroughs.
1.2.	Technical issues were frequently reported while filling out the Part B application form.
2.	Challenges in Amendment Process
2.1.	Many users experienced delays in processing amendment requests, with little customer support available.
2.2.	Absence of tracking features made it difficult to monitor amendment progress.
2.3.	Users were unaware of additional charges (INR 250 per product) for exceeding the 10-product limit when amending IEM certificates.
3.	Turnaround Time (TAT) Issues
3.1.	Acknowledgment took 7–10 working days, while final certificates were delayed by up to 1–3 months.
3.2.	Users suggested an ideal processing time of 1–2 working days.
4.	Transparency and User Satisfaction
4.1.	Lack of tracking features and difficulty in accessing department authorities led to user dissatisfaction.
4.2.	A need for better application guidelines and document checklists was highlighted.
4.3.	Data privacy concerns were raised regarding confidential customer details.
4.4.	Customer Support Issues
4.5.	Users reported delays in grievance redressal and difficulty in obtaining refunds due to system failures.
4.6.	There was a demand for a seamless refund process to address multiple payment issues.
</t>
  </si>
  <si>
    <t xml:space="preserve">1.	Verification of Compliance:
1.1.	Confirmation that the 14 categories of furniture meet the prescribed technical specifications and quality standards.
1.2.	Identification of any deviations from the required standards.
2.	Enhanced Quality Assurance:
2.1.	Assurance that school furniture is safe, durable, and suitable for student use.
2.2.	Detection of any structural defects, material inconsistencies, or workmanship flaws.
3.	Actionable Recommendations:
3.1.	A detailed quality assessment report highlighting:
3.2.	Approved items that meet quality standards.
3.3.	Rejected items with non-compliance reasons.
3.4.	Corrective actions for defective items.
4.	Transparent &amp; Unbiased Evaluation:
4.1.	Independent and data-backed quality verification, ensuring fair assessment.
4.2.	Strengthening of procurement decisions based on test results.
5.	Improved Procurement Process:
5.1.	Insights for better vendor selection in future purchases.
5.2.	Framework for long-term quality monitoring of school infrastructure.
</t>
  </si>
  <si>
    <t>Total, 8 milk and milk products with 8572 samples from organized and unorganized sectors were  analyzed on six parameters namely, the general parameters, adulterants, aflatoxin M1, melamine, and in some cases, testing for antibiotic and microbiological. The collected data was analyzed on varied matrices - product, parameter, region, sector wise etc. to check the level of adulterations.</t>
  </si>
  <si>
    <t>QCI has concluded the one time inspection, and a detailed report with all the findings and recommendation has been submitted to the client.</t>
  </si>
  <si>
    <t>So far, QCI has conducted more than 300 site inspections in the state of Uttar Pradesh since the inception of the project.</t>
  </si>
  <si>
    <t>A total volume of 1.503 Million Metric Tonnes of Coal has been sampled since the inception.</t>
  </si>
  <si>
    <t xml:space="preserve">QCI is conducting the technical audits of the university in accordance with the CPWD and NBC guidelines. Six visits to the Central University Campus have been concluded and Inspection Reports have also been submitted. More visits are expected in the coming months. </t>
  </si>
  <si>
    <t>QCI has successfully completed four (04) out of five  (05) milestones which includes creation and approval of BOQ, DPR, RFP for installation of Modern Video Surveillance Project, tender evaluation and onboarding of RailTel as System Integrator for the project. Further, QCI created Power Bi dashboard and Master Tracker to track the deliverables of System Integrator (RailTel).</t>
  </si>
  <si>
    <t>QCI has deployed manpower at the site to supervise the ongoing construction 4 Residential Towers of G + 10 floors, 01 Sewage Treatment plant and 01 Multi-purpose hall in the complex.</t>
  </si>
  <si>
    <t xml:space="preserve">A consolidated reports of test results, general observations, defects &amp; deficiencies on the roads with recommendations was submitted to the client. </t>
  </si>
  <si>
    <t>All 52 works listed in the contract have been visited more than once.</t>
  </si>
  <si>
    <t>A total volume of 7 Million Metric Tonnes of Coal has been sampled since the inception.</t>
  </si>
  <si>
    <t xml:space="preserve">QCI has been contracted for setting up Project Management Unit (PMU) by PHED, Haryana on a chargeable basis to support activities under JJM for a tenure of 12 months. The resource person shall be assigned the tasks related to vetting of DPR and document assessment for PHED, Haryana including preparation of DPR, preparation of drawings, cost estimation, rate analysis, design specifications, HT&amp;LT panels and motors, etc. </t>
  </si>
  <si>
    <t>QCI has evaluated 432 Projects under phase I (FY 2019-20 to 2022-23) &amp; 108 projects under phase II (FY 2023-24) throughout the country. Both phase completed and assessment reports of 1st phase was accepeted and 2nd phase was under consideration. 
100% Payment for 1st phase was received and 100% invoices for 2nd phase was submitted to client.</t>
  </si>
  <si>
    <t>QCI has conducted visits for inspection of water supply network in 10 inhabited islands of Lakshadweep.</t>
  </si>
  <si>
    <t>Mechanism to recognize and award companies for the best-performing road assets across the country has been developed. Screening and validation committee meeting, to shortlist projects for the field assessment has been conducted. QCI has concluded field assessment and screening committee meeting for Field Assessment. The jury round and shortlisting of winners for NHEA 2023 has also been done and the final main event in the month of April 2025.</t>
  </si>
  <si>
    <t>So far, QCI has conducted first site visit and a detailed report consisting of general observations, defects &amp; deficiencies, structural stability analysis along with recommendations has been submitted to the client.</t>
  </si>
  <si>
    <t>Currently, QCI has completed and submitted:
a. A detailed plan of action
b. An inception report containing findings from the pilot conducted in Chandigarh Smart City ICCC
c. Completed the on-ground assessment for cycle 1, covering 100 Smart cities and submitted the reports of the same.
d. Completed the on-ground assessment of Cycle 2.
e. On-ground visit of in-house team for better understanding of ICCC issues
Overall, QCI has improved management of operational ICCC and Use Case administration, leading to enhanced citizen experiences and functionality within the ICCC.</t>
  </si>
  <si>
    <t>1. A total of 6,428 unique households were surveyed with 1,053 non-responsive cases and 116 migration cases.
2. 1,498 no. of students were not mapped on SI portal but are on GSWS
3. 61 no. of students enrolled on SI portal.
4. 98.9% were the overall GER estimates with 93 students not enrolled out of 8,748 samples</t>
  </si>
  <si>
    <t>One-on-one meetings with all the 10 labs have been conducted, further the Detailed Project Report (DPR), RFP has been submitted to the client. Tender process,Technical Evaluation and financial evaluation completed, Vendor onboarded. Installation of CCTV is completed in all the labs and integration with CMS is done.</t>
  </si>
  <si>
    <t>Based on the recommendations of the Third-Party Evaluation conducted by QCI, the Animal Husbandry Infrastructure Development Fund (AHIDF) scheme has been extended for an additional three years, with a revised financial outlay of ₹29,610.25 crore.
In response to the evaluation findings, the Department of Animal Husbandry and Dairying (DAHD) has also placed greater emphasis on streamlining scheme implementation processes, with a focus on enhancing coordination and synergy among DAHD, financial institutions, and scheme beneficiaries, thereby ensuring more efficient and impactful delivery of the scheme objectives.</t>
  </si>
  <si>
    <t>On Ground Assessment- Visited 2408 locations, out of which 2026 IEC vans were assessed and after thorough quality checks and analysis, daily reports were submitted to the ministry.
Desktop Assessment- Live quality check of the data uploaded by van operator on QCI app was conducted by QCI Backened team.</t>
  </si>
  <si>
    <t>The VBSY initiative covered 2.6 lakh gram panchayats across the nation, and the campaign has had a significant impact on the beneficiaries, fostering a sense of empowerment.</t>
  </si>
  <si>
    <t>As informed by the vertical head, the project was given to another party for implementation, hence no major impact recorded.</t>
  </si>
  <si>
    <t>Assessed the supply chain focused on data accuracy, adequacy, and efficiency. The data collected from on-ground assessment will be analyzed, and the outcomes will be documented in reports for MoCAFPD.</t>
  </si>
  <si>
    <t>Implemented under "Swachh Yatra Shubh Yatra" initiative, the project encapsulates ranking and assessment of 125 bus depots of GSRTC on the basis of 8 parameters which includes cleanliness at Bus Station Building Premises, Toilet Block of the Bus Station, Inside and Outside of the Buses, Drivers and Conductors restrooms, Workshop Premises, Office Rooms, and Stakeholder and Citizen Interview. The bus depots were scored out of 2500 under brackets of Star 1,2,3,4 and 5 (5 being the highest). </t>
  </si>
  <si>
    <t>A total volume of  1.35 Million Metric Tonnes has been sampled since the inception.</t>
  </si>
  <si>
    <t>A total volume of 4.79 Million Metric Tonnes has been sampled since 01-04-2024.</t>
  </si>
  <si>
    <t>A total volume of 0.8 Million Metric Tonnes has been sampled since the inception.</t>
  </si>
  <si>
    <t>1.	Product Integrity &amp; Compliance – 100% adherence to prescribed standards, reducing defect rates and enhancing durability.
2.	Improved Student Experience – Ensuring that students across 49,190 schools in 26 districts receive high-quality learning materials, contributing to better learning outcomes.
3.	Operational Efficiency – Strengthening procurement mechanisms through proactive testing and quality checks, reducing rejections and delays.
4.	Governance &amp; Trust – Enhancing transparency and accountability in public procurement, reinforcing stakeholder confidence in the initiative.</t>
  </si>
  <si>
    <t>The coverage of the impact assessment was spread across selected 120 cities in 24 States/UTs and covered a total of 40,000 individuals. Of these, 25,500 CLSS beneficiaries and 8,500 non-CLSS beneficiaries will be surveyed online, while 4,500 CLSS beneficiaries and 1,500 non-CLSS beneficiaries will be surveyed offline. It focused on assessing the implementation of CLSS across different states/regions, identifying challenges and analyzing opportunities to enhance the program's outcome in future.</t>
  </si>
  <si>
    <t xml:space="preserve">More than 400+ locations visted </t>
  </si>
  <si>
    <t>A total volume of 11.83 Million Metric Tonnes of Coal has been sampled since the inception.</t>
  </si>
  <si>
    <t>·         As of Mar 25, the project has engaged 80,000 citizens in cleanliness assessment process, resulting in higher level of public awareness and participation. The development of Data Collection Application and Assessment Portals has streamlined field operations, leading to reduction in data processing time and more accurate reporting. The SMD and Zonal Portals have facilitated more effective review and decision-making processes, improving response times on cleanliness and sanitation issues.</t>
  </si>
  <si>
    <t>A dedicated mobile application allows procurement center officers to self-evaluate their centers' preparedness and operational maturity for grain procurement activities.
•	As of the Kharif Marketing Season 2024–25, over 42,217 procurement centers (94%) have registered on the PCSAP with more than 37,455 centers (89%) completing their self-assessments. This wide-scale adoption has significantly enhanced transparency and accountability in grain procurement operations, directly benefiting over 15 million farmers across the country.
•	Real-time, data-driven dashboards at both state and national levels now empower policymakers with actionable insights, enabling more informed fiscal and policy decisions.</t>
  </si>
  <si>
    <t>1st visit successfully conducted</t>
  </si>
  <si>
    <t>A total volume of 6.94 MMT has been sampled since inception</t>
  </si>
  <si>
    <t>A total volume of 0.45 Million Metric Tonnes has been sampled since the inception.</t>
  </si>
  <si>
    <t>Finalised comprehensive documents on Re-imagined international and domestic awards. 
- Branding: QCI facilitated a nationwide branding campaign for Bharat’s arts and culture, partnering with Dentsu and hosting a brainstorming summit at Bharat Mandapam.  
- Vision 2047: A long-term vision with five ambition items and thrust areas finalized and presented to the Ministry.  
- Responsibility Matrix: Each thrust area assigned to a ministry division and partner organization for accountability.  
- Schemes: Supported digital transition for KSVY, drafted new scheme guidelines, and reviewed the Museum Grant Scheme for improvements.  
- Awards: Revamped selection process for domestic (Sahitya, Sangeet Natak, Lalit Kala Akademis) and international (Gandhi Peace Prize, Tagore Award) awards.  
- Research &amp; Policy: Developed five-year and 100-day plans for Viksit Bharat @ 2047 and frameworks to grade cultural organizations.  
- Visitor Experience &amp; Festivals: Proposed strategies to enhance museum experiences and revamp Festivals of India under the Global Engagement Scheme.  
- Centers of Excellence: Field visit to Kolkata, meetings with stakeholders, and execution plan for a Conservation &amp; Restoration CoE.  
- Website &amp; Content Development: Contributed to the Ministry’s new website, reviewed Dentsu’s work on Yuga Yugeen Bharat Museum branding.  
- Operational &amp; Structural Reforms: Finalized documents on awards, developed a benchmarking framework, proposed an operational model for a new CoE, and recommended recruitment rule changes.</t>
  </si>
  <si>
    <t xml:space="preserve">
• The PMU team has successfully executed “Har Ghar Tiranga Campaign”
• New heroes to be celebrated have been identified.
• Republic Day Celebration activities were undertaken.
</t>
  </si>
  <si>
    <t>Outcomes:
• A coherent, C-level document which clearly outlines transformative ambitions, cross cutting levers, transformative ideas for initiatives, strategy and roadmap, suggested targets for 2030 &amp; 2047 to achieve the outlined ambitions. This will be a sharp, well designed 30-40 slide deck. 
• A short video (approx. 5 minutes) that captures the vision &amp; plans for each sector by interviewing the youth from across the country, voicing their aspirations &amp; hopes
Impact: 
Envisioned aspirational plans for 9 Ministries/ Departments across crucial sectors to pave the way for Viksit Bharat 
Review of 43 Organizations to dive deep into governance, administrative processes, human resources, and performance in delivery of objectives.</t>
  </si>
  <si>
    <t>The Third-Party Evaluation underscores the urgent need for substantial improvements in infrastructure, technological capabilities, and human resources to elevate the Central Insecticide Laboratory (CIL) to global standards. To achieve this transformation, QCI recommends a phased development strategy aimed at establishing CIL as a world-class centre for pesticide testing and research:
# Phase I (0–2 Years): Immediate expansion of physical infrastructure and augmentation of workforce
# Phase II (3–5 Years): Integration of advanced technologies and implementation of targeted capacity-building initiatives
# Phase III (Beyond 5 Years): Strategic policy adoption to attain international accreditation and global recognition
This proposed transformation is expected to play a pivotal role in mitigating pesticide adulteration, thereby contributing significantly to enhanced agricultural productivity, improved public health outcomes, and greater environmental sustainability across the country.</t>
  </si>
  <si>
    <t>The objective was to conduct a Third Party Inspection of the first truck which was assembled and in that same order the second and third truck would be assembled and shall be inspected by QCI in the 2nd phase of inspection. The same has been achieved by QCI. The TPI was done in 2 phases. QCI team has successfully concluded the 2nd phase of inspection for anti-smog gun and submitted the report consisting of general observations, defects and deficiencies along with recommendations to the client.</t>
  </si>
  <si>
    <t>All the completed projects under APC scheme was evaluated (as per the RfP requirement) and first draft report was also submitted to MoFPI's APC Evaluation Committee Members, along with a presentation of the preliminary findings. Evaluation of APC Scheme has been conducted as per following output/ outcome indicators:
• Physical and financial targets of the scheme
• Reduction of wastage in terms of quantity and values
• Gap Assessment &amp; Capacity utilization of infrastructure being created
• Impact on farmers (small, marginal &amp; large) in terms of service &amp; income
• Employment Generation, etc.
Based on the observations of the evaluation, Ministry requested QCI to consider few more samples (extra than RfP requirement) from under implementation category as well.</t>
  </si>
  <si>
    <t>A total volume of 3.75 Million Metric Tonnes has been sampled since the inception.</t>
  </si>
  <si>
    <t>The project became operational in the month of February 2025 with a newly setup plant of NTPC and a total of 0.03 MT have been sampled till date.</t>
  </si>
  <si>
    <t xml:space="preserve">The impact evaluation assessment has been completed for all the 12 Gram Panchayats across 6 districts in Maharashtra within the expected timeline. The assessment was carried out onsite capturing data from key stakeholders (Gram Sachiv/Sarpanch, Agriculture Assistants, Rural Housing Engineers and Households). The final report has been submitted. </t>
  </si>
  <si>
    <t>·         As of Mar 25, deployment of PMU Team, Capacity Building and Questionnaire development for the assessment has been completed. Field Assessment of 526 villages under SBM and Houses built under PMAY has been concluded. Capacity building via District coordinators for various schemes has also been undertaken. IT Portal has been deployed and Capacity building via District coordinators for various schemes is being conducted.
The project has brought in a structured, transparent, and evidence-based approach to evaluating rural sanitation outcomes across Gujarat. By specifically assessing ODF Model Villages, the initiative has helped validate on-ground performance, identify replicable best practices, and flag areas needing improvement. Capacity-building sessions have enhanced the understanding of SSR parameters among district and block-level functionaries, leading to more informed decision-making. The assessment has strengthened inter-departmental coordination, encouraged active community engagement, and improved the state’s readiness for national-level Swachh Survekshan Rural rankings—reinforcing Gujarat’s leadership in rural sanitation under the Swachh Bharat Mission (Grameen).</t>
  </si>
  <si>
    <t xml:space="preserve">The “Jal is Amrit” project enabled a comprehensive understanding of the current operational status of STPs across multiple ULBs. It helped identify gaps in manpower, technology suitability, and infrastructure maintenance. The assessment provided actionable insights for improving plant efficiency, ensuring better treated water quality, and achieving compliance with environmental norms. It also supported decision-makers with data-driven recommendations to strengthen sewage infrastructure and laid the foundation for sustainable urban water management practices.
The Jal Hi Amrit initiative led to significant improvements in the country’s wastewater management system, including:
• Enhanced functionality and operational efficiency of STPs.
• Improved quality of treated water, making it more suitable for reuse.
• A boost in sustainable water management, encouraging cities and states to adopt best practices.
</t>
  </si>
  <si>
    <t>An agreement between QCI and UPSTDC has been signed for 2 years to conduct TPI for civil/electrical works executed by UPSTDC in the state of Uttar Pradesh. QCI has conducted more than 200 sites inspections since the inception of the project.</t>
  </si>
  <si>
    <t>1.	Income Boost: Over 70% of beneficiaries reported increased income, significantly above 2019 census levels. 
2.	Delivery/Subsidy: Most satisfied, but &gt;25% faced delivery delays, and subsidy averaged 3 months. 
3.	App Underuse: E-Dhaga app adoption is low; reliance on NHDC is high. 
4.	Supplier Non-Compliance: Majority of suppliers skip inspections and label requirements. 
5.	Case Issues: 
5.1.	Assam: Discrepancies in beneficiary records.
5.2.	Passbooks: NHDC retention issues.
5.3.	Supply: Yarn unavailability led to dropouts.</t>
  </si>
  <si>
    <t>1. Developed and rolled out the National Standards for Civil Services Training Institutions (NSCSTI) accreditation framework, benchmarking institutions across 8 parameters.  
2. 130 institutions accredited so far, with plans to expand to 700+ training institutions across central and state levels.  
3. Created guidebooks, approach papers, and training interventions for frontline workers from MDOs, training over 6 lakh employees across sectors like Railways, Police, and BSNL.  
4. Developed the Annual HR Summit approach note, contributing to strategic HR discussions.  
5. Designed and implemented HR Audit to assess policies, employee motivation, and training needs across MDOs.  
6. Contributed to the Annual Report of CBC, including a timeline of civil service reforms and innovations.  
7. Provided extensive support in website development, media outreach, and public engagement for CBC.  
8. Led major immersion programs, capacity-building workshops, and flagship events like the National Training Conclave.  
9. Assisting in organizing National Learning Week and Global HR Summit to enhance knowledge-sharing and HR excellence.  
10. Developed e-learning modules in collaboration with stakeholders to improve training accessibility for MDOs.</t>
  </si>
  <si>
    <t>A total volume of 2.38 Million Metric Tonnes of Coal has been sampled since the inception.</t>
  </si>
  <si>
    <t>As part of the engagement, a comprehensive report and presentation detailing the proposed organizational structure, remuneration framework,grading and benchmarking analysis were submitted to the client.
The final recommendations were designed to enhance efficiency, manpower utilization, and future readiness of TCGL by aligning its structure with industry best practices and government benchmarks.
Additionally, a presentation has been prepared for the Hon’ble Chief Minister, summarizing the key findings and proposed reforms</t>
  </si>
  <si>
    <t>QCI was entrusted to conduct a one time survey of the quality of backlog waste lying in the trashing ground situated at Rampur Road and concluded the same. And a final report has been submitted to the client.</t>
  </si>
  <si>
    <t>QCI conducted 5 site inspections and have submitted the reports for the inspected sites. QCI will be receiving additional work from the department and the site inspection shall be conducted periodically.</t>
  </si>
  <si>
    <t xml:space="preserve">Field Verification is currently on-going. More than 1600 GP assesments has been completed.
• High satisfaction among trainees: A large proportion of citizens reported the sessions to be relevant, engaging, and impactful, especially in understanding groundwater concepts and water budgeting.
• Content effectiveness: Trainers demonstrated strong subject knowledge, and the use of tools like groundwater maps, folk songs, and participatory discussions enhanced learning outcomes.
• Inclusivity and participation: Efforts to include women and marginalised groups were visible in several states, though improvement was suggested in ensuring consistent female participation across regions.
• Community-level impact: Many trainees reported taking up new roles (e.g., water ambassadors, resource persons), leading awareness campaigns, or helping develop water conservation plans in their villages.
• Logistical gaps identified: While states like Karnataka and Gujarat performed well in infrastructure, some states showed inconsistencies in venue setup, seating, and availability of materials.
• Scope for improvement: Recommendations included better alignment of training content with local challenges, increased use of vernacular materials, and improved post-training follow-up.
</t>
  </si>
  <si>
    <t>All assessments have been completed. As of April 2025, the filed assessment has been completed and the preparation of final report is under progress.
• Assessed key output and outcome indicators, measuring its success in achieving physical and financial targets, and analysed its overall implementation effectiveness at the grassroots level.
• Evaluated the role of local institutions, stakeholder engagement, and the extent to which communities have embraced sustainable groundwater usage.
• Measured the Effectiveness of Program Interventions such as participatory water budgeting, demand-side management, and institutional strengthening in ensuring long-term sustainability.
• Identified best practices and success stories from high-performing Gram Panchayats</t>
  </si>
  <si>
    <t>The project significantly enhanced Agra Municipal Corporation’s preparedness for Swachh Survekshan by institutionalizing daily monitoring mechanisms and strengthening inter-departmental coordination. The deployment of the on-ground PMU enabled timely identification and resolution of operational gaps, improved data management, and ensured consistent field-level compliance with survey protocols. The full-scale mock Survekshan served as a practical stress test, allowing the ULB to fine-tune its strategy, improve documentation quality, and elevate citizen engagement efforts—ultimately leading to a more confident and structured approach toward the actual Swachh Survekshan.</t>
  </si>
  <si>
    <t>QCI conducted Non destructive test and collected sample for structural analysis for further technical investigation</t>
  </si>
  <si>
    <t>The physical verification helps with the gap analysis on ground compared to the self-declaration made by the PCs on PCSAP. OSCSC intends to move majority of its procurement centers from Level 2 and 3 to upward of Level 4.</t>
  </si>
  <si>
    <t>Inspection of redevelopment work at West Ansari Nagar AIIMS under Package-I/Part-I, New Delhi has commenced.</t>
  </si>
  <si>
    <t>QCI has undertaken tender drafting and evaluation. DPR drawings were vetted and reviewed. Daily maintenance activities were inspected and 800+ defects were found. The compliance work of these defects is under progress.</t>
  </si>
  <si>
    <t xml:space="preserve">QCI has initiated the Phase I and Phase II of the project. For few of the vendors, the raw materials have been sampled and final testing reports have been sent out and for other, the finished product testing is under process.
</t>
  </si>
  <si>
    <t>Questionnaire and sampling methodology was developed for the impact assessment of the three schmes and the field assessment for all three schemes has been successfully completed. The evaluation report has been submitted to the client, and we are waiting for the final comments and approval on the report.</t>
  </si>
  <si>
    <t>Data-driven insights for targeted action: Providing FSSAI with actionable data to formulate targeted interventions, policy adjustments, and enforcement strategies to enhance the safety and quality of edible oils in the Indian market. 
Ranking: Rank State/UT(s) based on overall adherence/non-adherence in edible oil samples, to facilitate targeted regulatory interventions and corrective measures in high-risk regions.</t>
  </si>
  <si>
    <t xml:space="preserve">As of now, team has completed discussions with critical stakeholders in the ecosystem such as MoF and DPIIT by MoC. </t>
  </si>
  <si>
    <t>The project's objective was to support the DARPG team in hosting the IIAS-DARPG International Conference, which was successfully accomplished. Additionally, the achieved outcome involved acting as a nodal point for planning and executing actionable agendas prioritized by the Department.</t>
  </si>
  <si>
    <t>NA</t>
  </si>
  <si>
    <t>Streamlined coordination with ministries for collecting and curating PM Awards and DARPG achievement content.
 Delivered high-quality, reader-friendly booklets (Seva Aur Sushasan, 11 Years of DARPG, Coffee Table Book) through refined content and design.
 Enhanced event visibility by drafting targeted tweets for Civil Services Day outreach.
 Strengthened documentation for key initiatives (SCI, Aspirational Blocks, Holistic Development) through proofreading and formatting support.
 Improved institutional outreach with a compiled PM Awardees contact database.
 Contributed to strategic communication through brochures, presentations, and Chintan Shivir content.</t>
  </si>
  <si>
    <t>A total of 1.04 MMT has been sampled since inception</t>
  </si>
  <si>
    <t>Technial Support Unit has been setup for handholding of ULBs in different strategic initiative</t>
  </si>
  <si>
    <t>Field Assessment of 4459 ULBs in ODF and 3580 in GFC has been commenced</t>
  </si>
  <si>
    <t xml:space="preserve">A total of 2.17 MMT have been sampled </t>
  </si>
  <si>
    <t xml:space="preserve">QCI is an implementation partner of the Convergence component under the New Mission for Urban Poverty Alleviation. QCI has developed a web portal, public dashboard, and Android mobile application to capture and reflect the profiling data &amp; scheme linkages under nine central welfare schemes. To date, 49,037 urban poor households with 89,196 family members have been profiled since March'25. The scheme linkages process has also been initiated by MoHUA in the month of June'25 and the scheme benefits will be sanctioned by the nodal officers of the line ministries/ depts. To the eligible profiled members. QCI has integrated ‘Image Recognition Artificial intelligence’ with the ‘Convergence’ portal for capturing and validating photographs of household members during profiling. The IT portal is also integrated with Aadhaar validation. </t>
  </si>
  <si>
    <t>At the end of the profiling, the vulnerable occupational category (VOG) of the profiled members is determined. The six major VOGs are: Transportation Worker, Gig Worker, Domestic &amp; Household Worker, Construction Worker, Care Worker &amp; Waste Manager.</t>
  </si>
  <si>
    <t>The Phase 1 Ranking of Offices in the Government of Maharashtra has been submitted to the client. The top rankers of the 9 type of offices i.e. District Collector offices, Zilla Parishad offices, District Superintendent of Police offices, Municipal Corporations, Police Commissionerates, Divisional Commissionerates, Inspector General of Police offices, state-level Commissionerates / Directorates, and all Departments has been released by the Hon. CM of Maharashtra on 1st May (Maharashtra Day) 2025
The Phase 2 Ranking of Offices in the Govt of Maharashtra were released on 16th and 22nd May of Corporations, Division and District Level Offices.</t>
  </si>
  <si>
    <t>As part of a pilot project covering three R&amp;B State Guest Houses in Ahmedabad, QCI conducted a comprehensive assessment to identify gaps in infrastructure, service quality, hygiene, and safety. Based on the findings, QCI developed tailored recommendations and Standard Operating Procedures (SOPs) to streamline operations, enhance guest experience.</t>
  </si>
  <si>
    <t>MoU with the department signed on 28th April 2025.
Submitted Inception report as per the timelines.</t>
  </si>
  <si>
    <t>The team has almost complted 90% field assessment on ground and DA is underprocess</t>
  </si>
  <si>
    <t>PP00284</t>
  </si>
  <si>
    <t>PP00285</t>
  </si>
  <si>
    <t>PP00286</t>
  </si>
  <si>
    <t>PP00287</t>
  </si>
  <si>
    <t>PP00288</t>
  </si>
  <si>
    <t>PP00289</t>
  </si>
  <si>
    <t>PP00290</t>
  </si>
  <si>
    <t>PP00291</t>
  </si>
  <si>
    <t>PP00292</t>
  </si>
  <si>
    <t>Amrut 2.0 Project Madhya Pradesh</t>
  </si>
  <si>
    <t>TPI of Multiple Works executed by UP Archaelogy Dept</t>
  </si>
  <si>
    <t>National Programme for Dairy Development (NPDD)</t>
  </si>
  <si>
    <t>Swachh Chattisgarh</t>
  </si>
  <si>
    <t>TPQA of NIPCCD Headquarters</t>
  </si>
  <si>
    <t>TPQMA NBCC Mohamkpur, Uttrakhand</t>
  </si>
  <si>
    <t>NBCC Hindu College</t>
  </si>
  <si>
    <t>Third Party Evaluation of NPS Traders Scheme</t>
  </si>
  <si>
    <t>TRI ECE</t>
  </si>
  <si>
    <t>PP00293</t>
  </si>
  <si>
    <t>PP00294</t>
  </si>
  <si>
    <t>PP00295</t>
  </si>
  <si>
    <t>PP00296</t>
  </si>
  <si>
    <t>PP00297</t>
  </si>
  <si>
    <t>PP00298</t>
  </si>
  <si>
    <t>PP00299</t>
  </si>
  <si>
    <t>PP00300</t>
  </si>
  <si>
    <t>PP00301</t>
  </si>
  <si>
    <t>PP00302</t>
  </si>
  <si>
    <t>PP00303</t>
  </si>
  <si>
    <t>PP00304</t>
  </si>
  <si>
    <t>Culture Schemes Evaluation</t>
  </si>
  <si>
    <t>CARA</t>
  </si>
  <si>
    <t xml:space="preserve">TPE of CBSP Scheme
</t>
  </si>
  <si>
    <t>Baseline Study and Impact Assessment of Recommendations from DGsP/IGsP Conferences (2022-2024)</t>
  </si>
  <si>
    <t>Evaluation of Designing Innovative solutions for holistic Access to Justice (DISHA) Scheme</t>
  </si>
  <si>
    <t>Conducting a comprehensive and in-depth assessment of the impact of the 6 Central Sector Scheme of the Ministry of AYUSH</t>
  </si>
  <si>
    <t>Livestock Health &amp; Disease Control Programme (LHDCP)</t>
  </si>
  <si>
    <t>NBCC Sarojini Nagar-A</t>
  </si>
  <si>
    <t>NBCC Sarojini Nagar-B</t>
  </si>
  <si>
    <t>Indian Footwear &amp; Leather Development programme (IFLDP)</t>
  </si>
  <si>
    <t>Swachh Survekshan Gujarat Urban 2025</t>
  </si>
  <si>
    <t>IA of Scheme for Investment Promotion (SIP)</t>
  </si>
  <si>
    <t>Ranking of Urban Policing across 115 Cities</t>
  </si>
  <si>
    <t>Supporting Dairy Cooperative &amp; Farmer Producer Organisation (SDCFPO)</t>
  </si>
  <si>
    <t>Jitesh Saini</t>
  </si>
  <si>
    <t>Dr. Hari Prakash/Shivam Dwivedi</t>
  </si>
  <si>
    <t>State</t>
  </si>
  <si>
    <t>Sector/Domain (2)</t>
  </si>
  <si>
    <t>Nature of Project</t>
  </si>
  <si>
    <t>Department for Promotion of Industry and Internal Trade,</t>
  </si>
  <si>
    <t>Quality City Initiative (Nashik)</t>
  </si>
  <si>
    <t>Quality Assessment of Biogas</t>
  </si>
  <si>
    <t>Social Impact Evaluation of the Projects Undertaken by Sasakawa – India Leprosy Foundation</t>
  </si>
  <si>
    <t>Assessment, Capacity Building &amp; Certification of Shri Somnath Trust</t>
  </si>
  <si>
    <t>Third Party Sampling, Testing and Analysis of Coal</t>
  </si>
  <si>
    <t>ODF Verification under SBM Urban</t>
  </si>
  <si>
    <t>MoUD Star Rating - Garbage Free Cities</t>
  </si>
  <si>
    <t>TPI of SWM Status of 97 Ganga Towns</t>
  </si>
  <si>
    <t>India Development Foundation of Overseas Indians Assessment</t>
  </si>
  <si>
    <t>Swachh Survekshan in HPCL Retail Outlets</t>
  </si>
  <si>
    <t>Assisting &amp; Capacity Building of 51 ULB's of Madhya Pradesh for Swachh Survekshan 2019</t>
  </si>
  <si>
    <t>Capacity Building at Gwalior Municipal Corporation for Swachh Survekshan 2019</t>
  </si>
  <si>
    <t>Swachh Pradesh Swastha Pradesh, MP -SBM Urban</t>
  </si>
  <si>
    <t>Independant Cleanliness of Public Toilets in Delhi</t>
  </si>
  <si>
    <t>Google Toilet Mapping- SBM Urban</t>
  </si>
  <si>
    <t>Third Party Verification Agency for District Level Verified ODF Gram Panchayats under SBM</t>
  </si>
  <si>
    <t>TPA of Railway Stations, Ministry of Railways</t>
  </si>
  <si>
    <t>Swachh Survekshan Telangana</t>
  </si>
  <si>
    <t>TPA for High-End Cleaning Assessment at Gujarat Yatradhams</t>
  </si>
  <si>
    <t>TPI of Cleanliness Project by TCGL</t>
  </si>
  <si>
    <t>TPA for High-End Cleaning at Statue of Unity, TCGL</t>
  </si>
  <si>
    <t>TPV of ODF Villages under SBM Rural, PRD, Govt of UP</t>
  </si>
  <si>
    <t>Assessment of NDMC Preparedness for SS 2019</t>
  </si>
  <si>
    <t>ALF Swachhta Awards 2019, DAY NULM</t>
  </si>
  <si>
    <t>Quality Assessment of RAPDRP</t>
  </si>
  <si>
    <t>Quality Assessment of Rural Electrification under DDUGKY</t>
  </si>
  <si>
    <t>Citizen's Charter Enhancement, Department of Administrative Reforms and Public Grievances</t>
  </si>
  <si>
    <t>EOffice Implementation PMU, Department of Administrative Reforms and Public Grievances</t>
  </si>
  <si>
    <t>Department of Administrative Reforms and Public Grievances Dashboard</t>
  </si>
  <si>
    <t>MoRTH- Highway Rating</t>
  </si>
  <si>
    <t>Tourism Study - TTCI Index</t>
  </si>
  <si>
    <t>Capacity Building &amp; TPA of Airports, AAI</t>
  </si>
  <si>
    <t>TPA of Support Services at Medical Colleges, DGME Govt of UP</t>
  </si>
  <si>
    <t>TPA &amp; Acrreditation of ESIC Hospitals &amp; Dispensaries</t>
  </si>
  <si>
    <t>Crime Victimization Survey for Delhi Police</t>
  </si>
  <si>
    <t>Survey &amp; Analysis of Pulses &amp; Oilseeds under PSS in Rajasthan -NAFED</t>
  </si>
  <si>
    <t>DIPP - Product Analysis (ProBono)</t>
  </si>
  <si>
    <t>TPA of EWS &amp; DG Ratio in Schools under RTE2009 - NCPCR</t>
  </si>
  <si>
    <t>TPA of DAY-NULM, Ministry of Housing and Urban Affairs</t>
  </si>
  <si>
    <t>TPV of Goods Imported by RCFL, Ministry of Chemicals &amp; Fertilizers</t>
  </si>
  <si>
    <t>Indian Ports Association - SBM 2019</t>
  </si>
  <si>
    <t>IA Smart Grid Pilot Project - National Smart Grid Mission</t>
  </si>
  <si>
    <t>National Commission for Scheduled Tribes</t>
  </si>
  <si>
    <t>Extension of Study for Streamlining CPGRAMS, Department of Administrative Reforms and Public Grievances</t>
  </si>
  <si>
    <t>Startup Village Entrepreneurship Project</t>
  </si>
  <si>
    <t>ODF Workshop Kerela, Nagaland, Assam</t>
  </si>
  <si>
    <t>Third Party testing of Fisheries for presence of Added Formaldehyde in Fish</t>
  </si>
  <si>
    <t>TPA of Coal Qualitative and Quantitative Analysis of Coal Supplied to SEMBCORP Energy India Limited (SEMBCORP)</t>
  </si>
  <si>
    <t>GeM-Vendor Assessment</t>
  </si>
  <si>
    <t>Kaya Kalp Certification for Private Hospitals (Pro Bono)</t>
  </si>
  <si>
    <t>TPA of AIC &amp; ATL - Atal Innovation Mission</t>
  </si>
  <si>
    <t>TPA of Cleanliness of Railway Stations</t>
  </si>
  <si>
    <t>MoRTH Excellence of Highways Awards 2019</t>
  </si>
  <si>
    <t>Assessment of Public &amp; Community Toilets - SBM Urban, Govt of Maharashtra</t>
  </si>
  <si>
    <t>Performance Audit of Solid Waste Management in ULBs, Govt of Haryana</t>
  </si>
  <si>
    <t>CAG PMU</t>
  </si>
  <si>
    <t>Toy Testing Project (ProBono)</t>
  </si>
  <si>
    <t>NPMPF (ProBono)</t>
  </si>
  <si>
    <t>TPA of National Initiative for Design Innovation</t>
  </si>
  <si>
    <t>TPA of TEQIP Phase III</t>
  </si>
  <si>
    <t>LANCO ANPARA POWER LIMITED-PLANT END – LAPL</t>
  </si>
  <si>
    <t xml:space="preserve">Assessment for Swachhta Excellence Award 2019-20 </t>
  </si>
  <si>
    <t>Support for SUSV Excellence Award 2019-20</t>
  </si>
  <si>
    <t>Census Survey of Water Body in Ganga Basin</t>
  </si>
  <si>
    <t>PP00075</t>
  </si>
  <si>
    <t>Ministry of Tourism PMU</t>
  </si>
  <si>
    <t>Quality Assessment of Akash System at BDL Ltd</t>
  </si>
  <si>
    <t>Mapping of Products and Services on GeM Portal with HSN Code</t>
  </si>
  <si>
    <t>Audit of 20 RWC Terminals</t>
  </si>
  <si>
    <t>MoRTH Excellence of Highways Award 2020</t>
  </si>
  <si>
    <t>Swachh NDMC 2020-2021</t>
  </si>
  <si>
    <t>Quality Analysis of Coal at OCPL, Manoharpur</t>
  </si>
  <si>
    <t>Quality and Quantity Analysis of Lignite fuel at JSWBL, Barmer</t>
  </si>
  <si>
    <t>Coal Sampling &amp; Analysis at Mahan Aluminium Project, Hindalco</t>
  </si>
  <si>
    <t>TPGVA - Atal Bhujal Yojana</t>
  </si>
  <si>
    <t>NDMA PMU for SCBAPP 2020-21</t>
  </si>
  <si>
    <t>Swachh Survekshan 2021 &amp; Swachh Survekshan League</t>
  </si>
  <si>
    <t>Open Network for Digital Commerce - Pilot</t>
  </si>
  <si>
    <t>Development of Ranking Framework GCI for States  UTs</t>
  </si>
  <si>
    <t>Assessment of Organizational Performance of DGCIS</t>
  </si>
  <si>
    <t>TPA of Relief &amp; Rehabilitation of Migrants &amp; Repatriates Schemes</t>
  </si>
  <si>
    <t>COVID 19 Project Department of Administrative Reforms and Public Grievances</t>
  </si>
  <si>
    <t>Third Party Evaluation For SPOCS &amp; MGS</t>
  </si>
  <si>
    <t>Third Party Interim Evaluation of TEQIP Phase III and ESS</t>
  </si>
  <si>
    <t>Transformation of FCI</t>
  </si>
  <si>
    <t>Research Study of Parcel Management System CRIS</t>
  </si>
  <si>
    <t>Pey Jal Survekshan Pilot</t>
  </si>
  <si>
    <t>PAN India Trans Fat Survey</t>
  </si>
  <si>
    <t>Quality Analysis of Coal at NTPC Dulanga,Darlipali</t>
  </si>
  <si>
    <t>Process Audit of In-Motion Weighbridges of IR</t>
  </si>
  <si>
    <t>Safaimitra Suraksha Challenge 2021</t>
  </si>
  <si>
    <t>CM's Cleanest City Award, Govt of Orissa (SBM Urban SSP)</t>
  </si>
  <si>
    <t>Assistance to MoRTH for NHEA 2021</t>
  </si>
  <si>
    <t>Capacity Building Commission PMU</t>
  </si>
  <si>
    <t>Extension for Swachh Survekshan 2021-22</t>
  </si>
  <si>
    <t>PMU at NDMA for SCBAP 2021-22</t>
  </si>
  <si>
    <t>Third Party Sampling, Testing &amp; Analysis of Coal at mine end of NLC Talabira</t>
  </si>
  <si>
    <t>TPIA under Jal Jeevan Mission, Himachal Pradesh</t>
  </si>
  <si>
    <t>CPGRAMS Reforms - Next 20 Ministries</t>
  </si>
  <si>
    <t>TPT of Treated Waste Water by Functional STP</t>
  </si>
  <si>
    <t>Engagement for Nari Shakti Puruskar 2021</t>
  </si>
  <si>
    <t>Parichha Thermal Power Project - Unloading End</t>
  </si>
  <si>
    <t>Survey of Water bodies of District Jammu</t>
  </si>
  <si>
    <t>Capacity Building of DC office,Jammu</t>
  </si>
  <si>
    <t>Assessment of Grain Procurement Centres</t>
  </si>
  <si>
    <t>Poshan Pakhwada and Swastha Balak Balika Spardha</t>
  </si>
  <si>
    <t>TPA of Campaign for Increasing Efficiency in Decision Making</t>
  </si>
  <si>
    <t>TPI under Jal Jeevan Mission, Govt of Haryana</t>
  </si>
  <si>
    <t>Ministry of culture 2022</t>
  </si>
  <si>
    <t>Preparation of DPR of Multi Village WSS, MP Jal Nigam</t>
  </si>
  <si>
    <t>Deptt. Of Public Enterprises-PMU</t>
  </si>
  <si>
    <t>Agency for Conducting Consumer Confidence Survey, RBI</t>
  </si>
  <si>
    <t>Agency for Conducting Inflation Expectation Survey of Households, RBI</t>
  </si>
  <si>
    <t>Agency for Conducting Rural Consumer Sentiment Survey, RBI</t>
  </si>
  <si>
    <t>Department of Administrative Reforms and Public Grievances-Special Campaign for Disposal of Pending Matters</t>
  </si>
  <si>
    <t>Quality Analysis of Coal at VOC Port Tuticorin for NTPL</t>
  </si>
  <si>
    <t>Department of Administrative Reforms and Public Grievances CPGRAMS-PMU</t>
  </si>
  <si>
    <t>Baseline Study Assessment in 8 cities</t>
  </si>
  <si>
    <t>Department of Administrative Reforms and Public Grievances SCDPM PMU</t>
  </si>
  <si>
    <t>Quality analysis of Import Coal-Pt.BDE</t>
  </si>
  <si>
    <t>MORTH NHEA 2022</t>
  </si>
  <si>
    <t>Coal miscellaneous projects</t>
  </si>
  <si>
    <t>Third Party Evaluation of Indian Leather Footwear Assessment Agra (DPIIT CFTI Agra)</t>
  </si>
  <si>
    <t>Quality analysis of coal at Lanco Amarkantak Unit-II</t>
  </si>
  <si>
    <t>NTPC - SAIL POWER COMPANY LIMITED - Unloading End Project</t>
  </si>
  <si>
    <t>CFTI_Chennai</t>
  </si>
  <si>
    <t>Re-assessment of FCI Warehouses</t>
  </si>
  <si>
    <t>Assessment of 86 STPs under NRCD</t>
  </si>
  <si>
    <t xml:space="preserve">TPI of the works being executed by UPPCL in Varanasi </t>
  </si>
  <si>
    <t>Safety and securoty assessment of ICCC in 12 Sc</t>
  </si>
  <si>
    <t>SBM ODF and GFC Star Rating Protocols - 2023</t>
  </si>
  <si>
    <t>Third Party Inspection of Box Girders/Trusses at ITPO complex, Pragati Maidan</t>
  </si>
  <si>
    <t>Department of Administrative Reforms and Public Grievances NeSDA PMU</t>
  </si>
  <si>
    <t>TPI of AIIMS complex at Ayur Vigyan Nagar (NBCC)</t>
  </si>
  <si>
    <t>Department of Administrative Reforms and Public Grievances IEDM Feb 2023</t>
  </si>
  <si>
    <t>Third Party Quarterly Survey Assessment to ensure preparedness of Bhopal Municipal Corporation for Pey-Jal Survekshan.</t>
  </si>
  <si>
    <t>City Finance Rankings</t>
  </si>
  <si>
    <t>TPI of RDSS works at KESCo, Kanpur</t>
  </si>
  <si>
    <t>Impact Evaluation of Policing Reforms</t>
  </si>
  <si>
    <t>PMRF IIT Madras</t>
  </si>
  <si>
    <t>IEM Certification</t>
  </si>
  <si>
    <t>QA of NDMC School Furniture Items for AAV and Navyug Schools</t>
  </si>
  <si>
    <t>Lanco Amarkantak Power Limited-Unit-I</t>
  </si>
  <si>
    <t>Central University Himachal Pradesh</t>
  </si>
  <si>
    <t>Video Surveillance System for Central Warehousing Corporation</t>
  </si>
  <si>
    <t>TPI of ILBS complex at Vasant Kunj (NBCC)</t>
  </si>
  <si>
    <t>TPI of Saharanpur Smart City Limited</t>
  </si>
  <si>
    <t>Quality Analysis of Coal at Plant End of RRVUNL</t>
  </si>
  <si>
    <t>PHED PMU Haryana</t>
  </si>
  <si>
    <t>TPI of Jal Jeevan Mission at Lakshadweep</t>
  </si>
  <si>
    <t>Data verification of student enrolment in nandyal district, AP</t>
  </si>
  <si>
    <t>Modern Video Surveillance System (VSS) for BIS Labs</t>
  </si>
  <si>
    <t>Animal Husbandry &amp; Dairy</t>
  </si>
  <si>
    <t>TPI of IEC vans</t>
  </si>
  <si>
    <t>Viksit Bharat Sankalp Yatra</t>
  </si>
  <si>
    <t>Third Party Assessment for Bharat Brand Products</t>
  </si>
  <si>
    <t>GSRTC - Assessment of 125 Bus depo in Gujarat</t>
  </si>
  <si>
    <t>Quality Analysis of Coal at Ports End of TANGEDCO</t>
  </si>
  <si>
    <t>Quality Analysis of Coal at Plant End of NTPC</t>
  </si>
  <si>
    <t>Quality analysis of coal at plant ends of NUPPL</t>
  </si>
  <si>
    <t>Quality Assurance of JVK-5 Products</t>
  </si>
  <si>
    <t>TPI work of Electrical work under Madhyanchal Vidyut Vitran Nigam Ltd</t>
  </si>
  <si>
    <t xml:space="preserve"> Quality analysis of coal at plants ends of GSECL</t>
  </si>
  <si>
    <t>Swachh Survekshan Gujarat Urban 2024</t>
  </si>
  <si>
    <t>Grading of procurement Center: Technology Develeopment</t>
  </si>
  <si>
    <t>TPI for open gym &amp; kids play equipment in govt parks under VDA</t>
  </si>
  <si>
    <t>Third Party Sampling, Testing &amp; Analysis of Coal at the loading ends of SCCL</t>
  </si>
  <si>
    <t>Quality Analysis of Coal at MINE Ends of SAIL CHASNALLA</t>
  </si>
  <si>
    <t>Swachh Survekshan gujarat Rural 2024</t>
  </si>
  <si>
    <t>BIPARD PMU</t>
  </si>
  <si>
    <t>IIAS-Department of Administrative Reforms and Public Grievances Conference 2025</t>
  </si>
  <si>
    <t>Media PMU Department of Administrative Reforms and Public Grievances</t>
  </si>
  <si>
    <t>Sampling,T&amp;A of Coal at unloading end of KPCL,RPCL</t>
  </si>
  <si>
    <t>Bhopal</t>
  </si>
  <si>
    <t>Government of  Bhopal</t>
  </si>
  <si>
    <t>Kanpur Electricity Supply Company</t>
  </si>
  <si>
    <t>TPI/TPA/TPE</t>
  </si>
  <si>
    <t>Nagar Nigam Mathura Vrindavan</t>
  </si>
  <si>
    <t xml:space="preserve">TPI of BDA Works </t>
  </si>
  <si>
    <t xml:space="preserve">Barelley Development Authority </t>
  </si>
  <si>
    <t>Evaluation of Offices – Government of Maharashtra</t>
  </si>
  <si>
    <t>Roads &amp; Buildings Department , Gujarat</t>
  </si>
  <si>
    <t>Amrut 2.0 Projects - Karnataka</t>
  </si>
  <si>
    <t>NIUA</t>
  </si>
  <si>
    <t>Water suply</t>
  </si>
  <si>
    <t>Culture AKAM PMU 2.0</t>
  </si>
  <si>
    <t>U.P. State Archaeology Department</t>
  </si>
  <si>
    <t>Department of Animal Husbandry &amp; Dairying (DAHD), Ministry of Fisheries, Animal Husbandry and Dairying, GoI</t>
  </si>
  <si>
    <t>Dairy Development</t>
  </si>
  <si>
    <t>TPQA of NIPCCD HQ</t>
  </si>
  <si>
    <t>National Institute of Public Cooperation and Child Development (NIPCCD)</t>
  </si>
  <si>
    <t>TPQA NBCC Mohkampur</t>
  </si>
  <si>
    <t>NBCC</t>
  </si>
  <si>
    <t>Third Party Evaluation of NPS for Traders(Schemes Implemented by Ministry of Labour &amp; Employement)</t>
  </si>
  <si>
    <t>Baseline Study and Impact Assessment of Recommendations from DGsP/IGsP Conferences (2022-2024).</t>
  </si>
  <si>
    <t xml:space="preserve">Ministry  of Home Affairs </t>
  </si>
  <si>
    <t>Department of Justice</t>
  </si>
  <si>
    <t>Ministry of Ayush</t>
  </si>
  <si>
    <t>Yet to be generated</t>
  </si>
  <si>
    <t>Yet to be granted</t>
  </si>
  <si>
    <t>Work orders issued to external stakeholders (if any)</t>
  </si>
  <si>
    <t>No</t>
  </si>
  <si>
    <t xml:space="preserve">No </t>
  </si>
  <si>
    <t>Yes</t>
  </si>
  <si>
    <t>Fully Closed</t>
  </si>
  <si>
    <t>PP00305</t>
  </si>
  <si>
    <t>PP00306</t>
  </si>
  <si>
    <t>PP00307</t>
  </si>
  <si>
    <t>PP00308</t>
  </si>
  <si>
    <t>PP00309</t>
  </si>
  <si>
    <t>PP00310</t>
  </si>
  <si>
    <t>Mr. Sumit Basista</t>
  </si>
  <si>
    <t>Third Party Assessment of CFA Scheme</t>
  </si>
  <si>
    <t>Profiling 2025-26</t>
  </si>
  <si>
    <t>Supporting Dairy Cooperatives and Farmer Producer Organization (SDCFPO)</t>
  </si>
  <si>
    <t>TPM of High-End Cleaning of Yatradhams</t>
  </si>
  <si>
    <t>Evaluation of DPPH Scheme of Ministry of Tourism</t>
  </si>
  <si>
    <t>T&amp;A of Coal at Unloading end of MAHAGENCO</t>
  </si>
  <si>
    <t>Sampling &amp; analysis of coal</t>
  </si>
  <si>
    <t xml:space="preserve">SEPC Power Private Ltd </t>
  </si>
  <si>
    <t>₹ 58,93,449 -
₹18,34,924</t>
  </si>
  <si>
    <t>NLMC</t>
  </si>
  <si>
    <t>Tribal Affairs</t>
  </si>
  <si>
    <t>Police Reforms &amp; Public Perception</t>
  </si>
  <si>
    <t>Livestock Disease Control</t>
  </si>
  <si>
    <t>Verification of Pre-construction, Under-construction and Constructed projects across 167 ULBs under AMRUT 2.0</t>
  </si>
  <si>
    <t>The objective of the project is to set up a dedicated Project Management Unit (PMU) within the C&amp;M Division of the Ministry of Culture, led by the Quality Council of India (QCI), to drive systemic transformation, enhance cultural governance, and deliver impactful initiatives aligned with the vision of "Amrit Kaal."</t>
  </si>
  <si>
    <t>Verification of Pre-construction, Under-construction and Constructed projects across 402 ULBs (Increased during the project) under AMRUT 2.0</t>
  </si>
  <si>
    <t>QCI has been entrusted by the Directorate of Archaeology, U.P. State Archaeology Department to perform third-party inspection of the project for examination of three ongoing projects sites in (1. Valmiki Ashram, Bithoor, Kanpur Nagar, 2. Sitaram Mahal, Kotvan, Mathura and 3. Rasik Bihari Temple, Fatehpur) under the budget provision of the financial year 2023-24. The objective is to conduct a special technical investigation which included material testing. </t>
  </si>
  <si>
    <t>•	To evaluate/ appraise the impact of different components of NPDD Scheme on the targeted beneficiaries/ sectors/ areas in terms of both quantitative and qualitative factors
•	Physical assessment of infrastructure created under the component A and Component B of NPDD on sample basis
•	To undertake an output-outcome analysis of NPDD as per the objectives of the scheme 
•	Assessment of funds released by GoI under NPDD and its utilization as per NPDD scheme/ operational guidelines and Financial management manual and only for the purposes for which the funds were provided, assess diversion or duplication in project implementation (if any)
•	To study the gaps in implementation (if any), qualitative aspects of implementation, and suggest measures for improvement in the future
•	To provide suitable recommendations for the continuation / modification / dis-continuation of components / activities of the scheme</t>
  </si>
  <si>
    <t xml:space="preserve">QCI is conducting sanitation assessments of 169 urban local bodies in the state of Chhatisgarh in accordance with the MoHUA-developed Swachh Survekshan toolkit. The evaluation will consist of on-site verification, desktop evaluation, and on-call validation of various sanitation-related aspects. Assessment will be carried out in four phases. </t>
  </si>
  <si>
    <t>The scope includes inspection, verification, and quality assessment of materials and workmanship at various stages of the project. This includes review of technical specifications, drawings, and test certificates; random material testing; dimensional and visual checks; validation of contractor bills; and compliance with approved standards, safety norms, and regulatory requirements. There will be deployment of qualified engineering staff on-site for continuous monitoring, submission of regular reports, and identification of discrepancies or deficiencies in civil and electrical works.</t>
  </si>
  <si>
    <t>The objective of the assignment is to provide an independent and reliable Third-Party Quality Monitoring for the construction of the Judicial Officers Residential Colony (Type V), Multipurpose Hall, and Judicial Staff Quarters (Type II) at Mohkampur, Dehradun, Uttarakhand. The scope includes comprehensive Quality Control and Quality Assurance services for all civil, electrical, mechanical, and allied MEP works. QCI have carry inspection and verification of construction quality, adherence to approved specifications and standards, identification of deviations, and recommendation of corrective actions. QCI will be responsible for technical documentation, monitoring of construction practices, and submission of periodic reports to NBCC to uphold standards of quality and compliance across the project. Subsequently, the inspection report to be submitted to the department. Report will consist of defects and deficiencies in the works and recommendations, if any.</t>
  </si>
  <si>
    <t>The objective of this engagement is to appoint a Third Party Quality Monitoring Agency (TPQMA) to provide independent quality control, supervision, and structural assurance for the construction of the Boy’s Hostel at Hindu College, University of Delhi. The scope includes comprehensive quality monitoring of all civil, electrical, mechanical, MEP, and allied works to ensure adherence to approved specifications and construction standards throughout the project duration.</t>
  </si>
  <si>
    <t>Evaluate TRI-ECE - a central sector scheme under MoTA and develop recommendations to stregthen the scheme's execution and financial planning</t>
  </si>
  <si>
    <t>To evaluate 4 central sector schemes and 2 missions under the Ministry of Culture, and support the ministry in development of 2 new schemes for the upcoming 16th financial commission</t>
  </si>
  <si>
    <t>The objective of this engagement is to appoint a Third Party Quality Monitoring Agency (TPQMA) to provide independent quality control, supervision, and structural assurance for the Civil, Electrical and mechanical works. The scope includes comprehensive quality monitoring of all civil, electrical, mechanical, MEP, and allied works to ensure adherence to approved specifications and construction standards throughout the project duration.</t>
  </si>
  <si>
    <t xml:space="preserve">QCI has been engaged to evaluate the effectiveness, impact, and efficiency of the CBSP training programs under the Ministry of Tourism. This evaluation will measure the extent to which programs have enhanced the skills, service quality, and professionalism of tourism and hospitality stakeholders. </t>
  </si>
  <si>
    <t xml:space="preserve"> - Assess the current status of implementation of the Hon’ble PM’s recommendations for the last three (03) years DGsP/IGsP Conferences (2022-24).
 - Evaluate the effectiveness and impact of implemented recommendations in enhancing policing outcomes, and service delivery mechanism for citizens.
 - Conduct an in-depth review of the recommendations from the past study to examine the progress of course correction suggested through previous study.
 - Examine the key challenges, and capacity-related constraints influencing the implementation process.</t>
  </si>
  <si>
    <t>The scope of work involves conducting a comprehensive evaluation of the DISHA Scheme to assess its effectiveness in promoting legal awareness, accessibility, and empowerment among marginalized communities. It includes analyzing the outreach, implementation mechanisms, and stakeholder engagement across different regions. Additionally, the study will identify challenges, best practices, and provide actionable recommendations for scaling and strengthening the scheme's delivery framework.</t>
  </si>
  <si>
    <t>The scope of the project is to conduct a comprehensive impact and performance evaluation of six Central Sector Schemes implemented by the Ministry of AYUSH. The study aims to assess the effectiveness, relevance, coverage, fund utilization, and outcomes of each scheme, both quantitatively and qualitatively. It involves field surveys, stakeholder consultations, and meta-analysis of official documents, with a focus on identifying implementation challenges, and providing actionable recommendations for continuation, modification, or scaling of the schemes. The evaluation will cover projects across all six geographical zones of India to ensure national representation.</t>
  </si>
  <si>
    <t>The LHDCP, a Centrally Sponsored Scheme (CSS) aims to mitigate risks to animal health through vaccination, enhanced veterinary services, improved disease surveillance, and better veterinary infrastructure.</t>
  </si>
  <si>
    <t>This scheme aims to develop infrastructure, address environmental concerns, facilitate investments, generate employment, and increase production in Leather, Leather Apparel &amp; Goods, Leather Footwear, Saddlery &amp; Harness, Non-Leather Footwear &amp; Footwear Components.
The IFLADP scheme comprises six sub-schemes:
1.	Integrated Development of Leather Sector (IDLS), 
2.	Sustainable Technology &amp; Environmental Promotion (STEP), 
3.	Mega Leather and Footwear Accessories Cluster Development Programme (MLFACD),
4.	Development of Design Studios, 
5.	Establishment of Institutional Facilities (EIF), and 
6.	Brand Promotion of Indian Brands.</t>
  </si>
  <si>
    <t>The Scheme for Investment Promotion (SIP) is a Central Sector scheme launched in November 2008 and currently approved for continuation from FY 2021-22 to 2025-26 with a financial outlay of ₹970 crore. It aims to create an enabling environment for attracting domestic and foreign investments to drive India’s economic growth, in line with the aspirations of becoming a USD 5 trillion economy. comprehensive two-sprint methodology to deliver a robust and actionable impact assessment of the Scheme for Investment Promotion (SIP). This approach integrates stakeholder insights, workflow diagnostics, and strategic solutioning ensuring all Target Groups (TGs) impacted by SIP are systematically analyzed and addressed.</t>
  </si>
  <si>
    <t>Objective of the scheme is to assist Cooperative Societies and Farmer Producer Organizations (FPOs) engaged in dairy activities by providing soft working capital loans to help manage crises arising from adverse market conditions or natural calamities.
Objective of the scheme is to evaluate the gaps in implementation if any, qualitative aspects of implementation, and suggest measures for improvement in the future.</t>
  </si>
  <si>
    <t>All assessments have been completed along with DA, final submission from the client side is pending</t>
  </si>
  <si>
    <t>QCI has completed site inspection to the allotted sites and submitted the final reports to the client.</t>
  </si>
  <si>
    <t>Inception Report</t>
  </si>
  <si>
    <t>Impact assessment of NPS scheme, to understand the benefits of scheme, gaps, provide recommendations</t>
  </si>
  <si>
    <t>The draft report has been submitted to the client</t>
  </si>
  <si>
    <t>Field Assessment has been carried out, data analysis has been done . The report for the project is being prepared</t>
  </si>
  <si>
    <t>Questionnaire and sampling methodology was developed for the impact assessment of the three schmes and the field assessment for all three schemes has been started.</t>
  </si>
  <si>
    <t>Questionnaire and sampling methodology was developed for the impact assessment of the three schmes and the field assessment for all six schemes has been started.</t>
  </si>
  <si>
    <t>Mid-Term Report</t>
  </si>
  <si>
    <t>The purpose of this evaluation is to provide a comprehensive performance review of the SIP with the aim of strengthening India’s investment promotion ecosystem. The key objectives and expected outcomes include:
•	Measuring the scheme's effectiveness in achieving its overarching goal of transforming India into a globally competitive manufacturing and investment destination.
•	Identifying key areas for policy reform and improvement, while reinforcing the strengths and successful components of the current scheme.
•	Assessing the impact of SIP on critical national outcomes, including the inflow of capital, job creation, technology transfer, skill development, and overall productivity and innovation.
•	Providing forward-looking recommendations to enhance India’s attractiveness as an investment destination focusing on higher-quality investments, greater sectoral and geographic diversification, and long-term sustainability.
•	Supporting DPIIT in formulating strategies for the next phase of investment promotion based on evidence-driven insights and stakeholder feedback.</t>
  </si>
  <si>
    <t>Evaluation Framework</t>
  </si>
  <si>
    <t>RFP</t>
  </si>
  <si>
    <t>DPIIT</t>
  </si>
  <si>
    <t>Bureau of Police Research and Development, MHA</t>
  </si>
  <si>
    <t xml:space="preserve">Department for Promotion of Industry and Internal Trade </t>
  </si>
  <si>
    <t>Gujarat Pavitra Yatradham Vikas Board</t>
  </si>
  <si>
    <t>Monitoring of High-End Cleaning</t>
  </si>
  <si>
    <t>MAHAGECNO</t>
  </si>
  <si>
    <t xml:space="preserve">COAL SAMPLING </t>
  </si>
  <si>
    <t>MAHARASHTRA</t>
  </si>
  <si>
    <t>IR CLASS SYSTEM &amp; SOLUTIONS PRIVATE LIMITED</t>
  </si>
  <si>
    <t>Hiring Agency</t>
  </si>
  <si>
    <t xml:space="preserve">Technical Expert - Mr.Alok Kumar </t>
  </si>
  <si>
    <t>Scheme evaluation</t>
  </si>
  <si>
    <t>PP00311</t>
  </si>
  <si>
    <t>PP00312</t>
  </si>
  <si>
    <t>PP00313</t>
  </si>
  <si>
    <t>AMC for Self-Declaration-PCSAP</t>
  </si>
  <si>
    <t>MSTC PMU</t>
  </si>
  <si>
    <t>In line with the vision of PM to transform policing into a modern, data-driven, and citizen-centric force by 2047, the Bureau of Police Research and Development (BPR&amp;D) has started an initiative to rank 115 cities on key aspects of urban policing. Such as community-centric approach, technology driven approaches</t>
  </si>
  <si>
    <t xml:space="preserve">•	Facilitate comprehensive management and execution of MSTC Limited’s engagements
•	Deliver expertise across key functional areas to significantly enhance MSTC Limited’s capacity and effectiveness. This includes support in analytics, documentation, stakeholder communication. 
•	In terms of technical assistance, support includes backend development, database management and Web API management including integration and deployment.
•	UI/UX and frontend development and prototyping based on business requirement"   "• Facilitate comprehensive management and execution of MSTC Limited’s engagements
• Deliver expertise across key functional areas to significantly enhance MSTC Limited’s capacity and effectiveness. This includes support in analytics, documentation, stakeholder communication. 
• In terms of technical assistance, support includes backend development, database management and Web API management including integration and deployment.
• UI/UX and frontend development and prototyping based on business requirement""" 
</t>
  </si>
  <si>
    <t>MSTC Limited</t>
  </si>
  <si>
    <t>Ministry of Steel</t>
  </si>
  <si>
    <t>Department of Animal Husbandry &amp; Dairying (DAHD)</t>
  </si>
  <si>
    <t>PP00314</t>
  </si>
  <si>
    <t>PP00315</t>
  </si>
  <si>
    <t>PP00316</t>
  </si>
  <si>
    <t>PCSAP: Helpdesk</t>
  </si>
  <si>
    <t>Pilot 2.0 Assessment/ Rating of SRO offices at five locations - Delhi, Gurgaon, Ghaziabad, Ajmer, Gwalior</t>
  </si>
  <si>
    <t>PAN India Surveillance of Milk and Milk Products 2025</t>
  </si>
  <si>
    <t>Department of Land Resources,</t>
  </si>
  <si>
    <t>Food Security, Technology, Support</t>
  </si>
  <si>
    <t>Third Party Assessment</t>
  </si>
  <si>
    <t>Technology</t>
  </si>
  <si>
    <t>Establish a user-friendly and accessible query/concern redressal system via pcsap.support@qcin.org
to cater to the procurement center in charge, FCI stakeholders and state officials regarding concerns related to the PCSAP.
Ensure efficient tracking and monitoring of queries, leading to timely and effective resolutions.
Enhance overall stakeholder satisfaction by promptly addressing their issues and fostering transparency in the process.</t>
  </si>
  <si>
    <t>To conduct the third party assessment of 5 SROs, to check the infrastructure, process and turn around time.</t>
  </si>
  <si>
    <t>Evaluate the compliance of milk and milk products with the standards and regulations set by FSSAI, covering various parameters of safety, quality, and labelling. To identify the key regions with significant levels of adulteration in eight milk and milk products across the selected States and Union Territories.</t>
  </si>
  <si>
    <t xml:space="preserve">QCI, in collaboration with the Department of Consumer Affairs and the Food Corporation of India, has developed the Procurement Centre Self-Assessment Platform (PCSAP) to enable procurement centers to assess their maturity levels. In KMS 2024–25, 42,217 procurement centers registered on the platform, with 37,455 completing their self-assessments.
For KMS 2025–26, an enhanced quality management process has been introduced, wherein FCI/State officials will conduct on-ground verification of the self-assessment forms submitted by procurement centers. Additionally, PCSAP has been integrated with the SCAN portal to facilitate fund release by the Government of India, aligned with the maturity levels determined through the platform.
</t>
  </si>
  <si>
    <t>-</t>
  </si>
  <si>
    <t xml:space="preserve">Tech Development </t>
  </si>
  <si>
    <t>HR, IT Cell</t>
  </si>
  <si>
    <t>IT Vendor Sapple Systems</t>
  </si>
  <si>
    <t>GEOSTAT INFORMATICS (INDIA) PRIVATE LIMITED, V-Connect Systems &amp; Services Pvt. Ltd</t>
  </si>
  <si>
    <t>Professional Deployment</t>
  </si>
  <si>
    <t>Delhi</t>
  </si>
  <si>
    <t>Geostat Informatics (India) Private Limited (for Tech Development) and V-Connect Systems and Services Pvt. Ltd (for SMS Services) as Vendor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</si>
</sst>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 &quot;₹&quot;\ * #,##0.00_ ;_ &quot;₹&quot;\ * \-#,##0.00_ ;_ &quot;₹&quot;\ * &quot;-&quot;??_ ;_ @_ "/>
    <numFmt numFmtId="164" formatCode="[$-14009]dd/mm/yyyy;@"/>
    <numFmt numFmtId="165" formatCode="_ [$₹-4009]\ * #,##0.00_ ;_ [$₹-4009]\ * \-#,##0.00_ ;_ [$₹-4009]\ * &quot;-&quot;??_ ;_ @_ "/>
  </numFmts>
  <fonts count="19" x14ac:knownFonts="1">
    <font>
      <sz val="11"/>
      <color theme="1"/>
      <name val="Calibri"/>
      <family val="2"/>
      <scheme val="minor"/>
    </font>
    <font>
      <sz val="11"/>
      <color theme="1"/>
      <name val="Calibri"/>
      <family val="2"/>
      <scheme val="minor"/>
    </font>
    <font>
      <sz val="11"/>
      <color theme="1"/>
      <name val="Arial"/>
      <family val="2"/>
    </font>
    <font>
      <sz val="11"/>
      <name val="Calibri"/>
      <family val="2"/>
      <scheme val="minor"/>
    </font>
    <font>
      <sz val="11"/>
      <color rgb="FF006100"/>
      <name val="Calibri"/>
      <family val="2"/>
      <scheme val="minor"/>
    </font>
    <font>
      <b/>
      <sz val="12"/>
      <name val="Calibri"/>
      <family val="2"/>
      <scheme val="minor"/>
    </font>
    <font>
      <sz val="12"/>
      <color theme="1"/>
      <name val="Calibri"/>
      <family val="2"/>
      <scheme val="minor"/>
    </font>
    <font>
      <sz val="12"/>
      <name val="Calibri"/>
      <family val="2"/>
      <scheme val="minor"/>
    </font>
    <font>
      <sz val="12"/>
      <color rgb="FF000000"/>
      <name val="Calibri"/>
      <family val="2"/>
      <scheme val="minor"/>
    </font>
    <font>
      <sz val="11"/>
      <color rgb="FF001D35"/>
      <name val="Calibri"/>
      <family val="2"/>
      <scheme val="minor"/>
    </font>
    <font>
      <sz val="10"/>
      <color theme="1"/>
      <name val="Calibri"/>
      <family val="2"/>
    </font>
    <font>
      <sz val="10"/>
      <color theme="1"/>
      <name val="Calibri"/>
      <family val="2"/>
      <scheme val="minor"/>
    </font>
    <font>
      <sz val="10"/>
      <color theme="1"/>
      <name val="Times New Roman"/>
      <family val="1"/>
    </font>
    <font>
      <b/>
      <sz val="11"/>
      <color theme="1"/>
      <name val="Calibri"/>
      <family val="2"/>
    </font>
    <font>
      <sz val="11"/>
      <color theme="1"/>
      <name val="Calibri"/>
      <family val="2"/>
    </font>
    <font>
      <sz val="11"/>
      <color theme="1"/>
      <name val="Calibri"/>
      <family val="2"/>
    </font>
    <font>
      <sz val="10"/>
      <color rgb="FF434343"/>
      <name val="Arial"/>
      <family val="2"/>
    </font>
    <font>
      <sz val="10"/>
      <name val="Calibri"/>
      <family val="2"/>
      <scheme val="minor"/>
    </font>
    <font>
      <sz val="11"/>
      <color theme="1"/>
      <name val="Calibri"/>
    </font>
  </fonts>
  <fills count="7">
    <fill>
      <patternFill patternType="none"/>
    </fill>
    <fill>
      <patternFill patternType="gray125"/>
    </fill>
    <fill>
      <patternFill patternType="solid">
        <fgColor rgb="FFC6EFCE"/>
      </patternFill>
    </fill>
    <fill>
      <patternFill patternType="solid">
        <fgColor theme="7"/>
        <bgColor indexed="64"/>
      </patternFill>
    </fill>
    <fill>
      <patternFill patternType="solid">
        <fgColor theme="4" tint="0.79998168889431442"/>
        <bgColor indexed="64"/>
      </patternFill>
    </fill>
    <fill>
      <patternFill patternType="solid">
        <fgColor rgb="FFFFFFFF"/>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5">
    <xf numFmtId="0" fontId="0" fillId="0" borderId="0"/>
    <xf numFmtId="0" fontId="1" fillId="0" borderId="0"/>
    <xf numFmtId="44" fontId="1" fillId="0" borderId="0" applyFont="0" applyFill="0" applyBorder="0" applyAlignment="0" applyProtection="0"/>
    <xf numFmtId="0" fontId="3" fillId="0" borderId="0"/>
    <xf numFmtId="0" fontId="4" fillId="2" borderId="0" applyNumberFormat="0" applyBorder="0" applyAlignment="0" applyProtection="0"/>
  </cellStyleXfs>
  <cellXfs count="80">
    <xf numFmtId="0" fontId="0" fillId="0" borderId="0" xfId="0"/>
    <xf numFmtId="0" fontId="2" fillId="0" borderId="0" xfId="0" applyFont="1" applyAlignment="1">
      <alignment horizontal="center" vertical="center"/>
    </xf>
    <xf numFmtId="0" fontId="2" fillId="0" borderId="0" xfId="0" applyFont="1" applyAlignment="1">
      <alignment horizontal="center" vertical="center" wrapText="1"/>
    </xf>
    <xf numFmtId="164" fontId="2" fillId="0" borderId="0" xfId="0" applyNumberFormat="1" applyFont="1" applyAlignment="1">
      <alignment horizontal="center" vertical="center"/>
    </xf>
    <xf numFmtId="0" fontId="5" fillId="3" borderId="1" xfId="1" applyFont="1" applyFill="1" applyBorder="1" applyAlignment="1">
      <alignment horizontal="center" vertical="center"/>
    </xf>
    <xf numFmtId="0" fontId="5" fillId="3" borderId="1" xfId="1" applyFont="1" applyFill="1" applyBorder="1" applyAlignment="1">
      <alignment horizontal="center" vertical="center" wrapText="1"/>
    </xf>
    <xf numFmtId="0" fontId="5" fillId="4" borderId="1" xfId="1" applyFont="1" applyFill="1" applyBorder="1" applyAlignment="1">
      <alignment horizontal="center" wrapText="1"/>
    </xf>
    <xf numFmtId="0" fontId="5" fillId="4" borderId="1" xfId="1" applyFont="1" applyFill="1" applyBorder="1" applyAlignment="1">
      <alignment horizontal="center" vertical="center"/>
    </xf>
    <xf numFmtId="0" fontId="6" fillId="0" borderId="1" xfId="1" applyFont="1" applyBorder="1" applyAlignment="1">
      <alignment horizontal="left" vertical="top" wrapText="1"/>
    </xf>
    <xf numFmtId="0" fontId="6" fillId="0" borderId="1" xfId="1" applyFont="1" applyBorder="1" applyAlignment="1">
      <alignment horizontal="left" vertical="top"/>
    </xf>
    <xf numFmtId="0" fontId="6" fillId="0" borderId="1" xfId="1" applyFont="1" applyBorder="1"/>
    <xf numFmtId="0" fontId="6" fillId="0" borderId="1" xfId="1" applyFont="1" applyBorder="1" applyAlignment="1">
      <alignment wrapText="1"/>
    </xf>
    <xf numFmtId="0" fontId="6" fillId="0" borderId="1" xfId="1" applyFont="1" applyBorder="1" applyAlignment="1">
      <alignment vertical="top"/>
    </xf>
    <xf numFmtId="0" fontId="0" fillId="0" borderId="1" xfId="0" applyBorder="1" applyAlignment="1">
      <alignment horizontal="left" wrapText="1"/>
    </xf>
    <xf numFmtId="0" fontId="7" fillId="0" borderId="1" xfId="1" applyFont="1" applyBorder="1" applyAlignment="1">
      <alignment horizontal="left" vertical="top" wrapText="1"/>
    </xf>
    <xf numFmtId="0" fontId="8" fillId="5" borderId="1" xfId="0" applyFont="1" applyFill="1" applyBorder="1" applyAlignment="1">
      <alignment horizontal="left" wrapText="1"/>
    </xf>
    <xf numFmtId="0" fontId="8" fillId="0" borderId="1" xfId="0" applyFont="1" applyBorder="1" applyAlignment="1">
      <alignment wrapText="1"/>
    </xf>
    <xf numFmtId="0" fontId="7" fillId="0" borderId="1" xfId="1" applyFont="1" applyBorder="1" applyAlignment="1">
      <alignment vertical="top" wrapText="1"/>
    </xf>
    <xf numFmtId="0" fontId="8" fillId="0" borderId="1" xfId="1" applyFont="1" applyBorder="1" applyAlignment="1">
      <alignment horizontal="left" vertical="top" wrapText="1"/>
    </xf>
    <xf numFmtId="0" fontId="8" fillId="5" borderId="1" xfId="0" applyFont="1" applyFill="1" applyBorder="1" applyAlignment="1">
      <alignment horizontal="left" vertical="center" wrapText="1"/>
    </xf>
    <xf numFmtId="0" fontId="9" fillId="0" borderId="1" xfId="0" applyFont="1" applyBorder="1" applyAlignment="1">
      <alignment wrapText="1"/>
    </xf>
    <xf numFmtId="0" fontId="0" fillId="0" borderId="0" xfId="0" applyAlignment="1">
      <alignment wrapText="1"/>
    </xf>
    <xf numFmtId="0" fontId="6" fillId="6" borderId="1" xfId="1" applyFont="1" applyFill="1" applyBorder="1" applyAlignment="1">
      <alignment horizontal="left" vertical="top"/>
    </xf>
    <xf numFmtId="0" fontId="6" fillId="0" borderId="1" xfId="0" applyFont="1" applyBorder="1" applyAlignment="1">
      <alignment horizontal="left" vertical="top" wrapText="1"/>
    </xf>
    <xf numFmtId="44" fontId="7" fillId="0" borderId="1" xfId="2" applyFont="1" applyFill="1" applyBorder="1" applyAlignment="1">
      <alignment horizontal="left" vertical="top" wrapText="1"/>
    </xf>
    <xf numFmtId="0" fontId="6" fillId="5" borderId="1" xfId="1" applyFont="1" applyFill="1" applyBorder="1"/>
    <xf numFmtId="0" fontId="8" fillId="5" borderId="1" xfId="0" applyFont="1" applyFill="1" applyBorder="1" applyAlignment="1">
      <alignment horizontal="center" wrapText="1"/>
    </xf>
    <xf numFmtId="0" fontId="8" fillId="5" borderId="1" xfId="0" applyFont="1" applyFill="1" applyBorder="1" applyAlignment="1">
      <alignment wrapText="1"/>
    </xf>
    <xf numFmtId="0" fontId="8" fillId="0" borderId="1" xfId="0" applyFont="1" applyBorder="1" applyAlignment="1">
      <alignment horizontal="center" vertical="center" wrapText="1"/>
    </xf>
    <xf numFmtId="0" fontId="6" fillId="0" borderId="1" xfId="0" applyFont="1" applyBorder="1" applyAlignment="1">
      <alignment horizontal="left" wrapText="1"/>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0" fontId="8" fillId="0" borderId="1" xfId="3" applyFont="1" applyBorder="1" applyAlignment="1">
      <alignment horizontal="left" vertical="top" wrapText="1"/>
    </xf>
    <xf numFmtId="0" fontId="8" fillId="0" borderId="1" xfId="0" applyFont="1" applyBorder="1" applyAlignment="1">
      <alignment horizontal="left" wrapText="1"/>
    </xf>
    <xf numFmtId="0" fontId="8" fillId="0" borderId="1" xfId="0" applyFont="1" applyBorder="1" applyAlignment="1">
      <alignment horizontal="center" wrapText="1"/>
    </xf>
    <xf numFmtId="0" fontId="7" fillId="0" borderId="1" xfId="4" applyFont="1" applyFill="1" applyBorder="1" applyAlignment="1">
      <alignment horizontal="left" vertical="top" wrapText="1"/>
    </xf>
    <xf numFmtId="0" fontId="7" fillId="0" borderId="1" xfId="0" applyFont="1" applyBorder="1" applyAlignment="1">
      <alignment vertical="top" wrapText="1"/>
    </xf>
    <xf numFmtId="0" fontId="8" fillId="0" borderId="1" xfId="0" applyFont="1" applyBorder="1" applyAlignment="1">
      <alignment horizontal="left" vertical="center" wrapText="1"/>
    </xf>
    <xf numFmtId="0" fontId="6" fillId="0" borderId="1" xfId="1" applyFont="1" applyBorder="1" applyAlignment="1">
      <alignment horizontal="center" vertical="center"/>
    </xf>
    <xf numFmtId="0" fontId="7" fillId="0" borderId="1" xfId="1" applyFont="1" applyBorder="1" applyAlignment="1">
      <alignment horizontal="center" vertical="center" wrapText="1"/>
    </xf>
    <xf numFmtId="0" fontId="0" fillId="0" borderId="0" xfId="0" applyAlignment="1">
      <alignment horizontal="center" vertical="center"/>
    </xf>
    <xf numFmtId="0" fontId="10"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xf numFmtId="0" fontId="0" fillId="0" borderId="1" xfId="0" applyBorder="1" applyAlignment="1">
      <alignment wrapText="1"/>
    </xf>
    <xf numFmtId="0" fontId="11" fillId="0" borderId="1" xfId="0" applyFont="1" applyBorder="1" applyAlignment="1">
      <alignment horizontal="center" vertical="center" wrapText="1"/>
    </xf>
    <xf numFmtId="0" fontId="0" fillId="0" borderId="1" xfId="0" applyBorder="1" applyAlignment="1">
      <alignment horizontal="center" vertical="center" wrapText="1"/>
    </xf>
    <xf numFmtId="0" fontId="6" fillId="0" borderId="0" xfId="1" applyFont="1"/>
    <xf numFmtId="0" fontId="6" fillId="0" borderId="0" xfId="1" applyFont="1" applyAlignment="1">
      <alignment horizontal="left" vertical="top"/>
    </xf>
    <xf numFmtId="0" fontId="10" fillId="0" borderId="0" xfId="0" applyFont="1" applyAlignment="1">
      <alignment horizontal="center" vertical="center" wrapText="1"/>
    </xf>
    <xf numFmtId="0" fontId="10" fillId="0" borderId="2" xfId="0" applyFont="1" applyBorder="1" applyAlignment="1">
      <alignment horizontal="center" vertical="center" wrapText="1"/>
    </xf>
    <xf numFmtId="0" fontId="12" fillId="0" borderId="1" xfId="0" applyFont="1" applyBorder="1" applyAlignment="1">
      <alignment horizontal="center" vertical="center" wrapText="1"/>
    </xf>
    <xf numFmtId="0" fontId="0" fillId="0" borderId="0" xfId="0" applyAlignment="1">
      <alignment horizontal="left"/>
    </xf>
    <xf numFmtId="0" fontId="13" fillId="0" borderId="0" xfId="0" applyFont="1" applyAlignment="1">
      <alignment horizontal="center" vertical="center" wrapText="1"/>
    </xf>
    <xf numFmtId="164" fontId="13" fillId="0" borderId="0" xfId="0" applyNumberFormat="1" applyFont="1" applyAlignment="1">
      <alignment horizontal="center" vertical="center" wrapText="1"/>
    </xf>
    <xf numFmtId="0" fontId="13" fillId="0" borderId="0" xfId="0" applyFont="1" applyAlignment="1">
      <alignment horizontal="center" vertical="center"/>
    </xf>
    <xf numFmtId="0" fontId="14" fillId="0" borderId="0" xfId="0" applyFont="1" applyAlignment="1">
      <alignment horizontal="center" vertical="center"/>
    </xf>
    <xf numFmtId="0" fontId="14" fillId="0" borderId="0" xfId="0" applyFont="1" applyAlignment="1">
      <alignment horizontal="center" vertical="center" wrapText="1"/>
    </xf>
    <xf numFmtId="14" fontId="14" fillId="0" borderId="0" xfId="0" applyNumberFormat="1" applyFont="1" applyAlignment="1">
      <alignment horizontal="center" vertical="center"/>
    </xf>
    <xf numFmtId="164" fontId="14" fillId="0" borderId="0" xfId="0" applyNumberFormat="1" applyFont="1" applyAlignment="1">
      <alignment horizontal="center" vertical="center"/>
    </xf>
    <xf numFmtId="165" fontId="14" fillId="0" borderId="0" xfId="0" applyNumberFormat="1" applyFont="1" applyAlignment="1">
      <alignment horizontal="center" vertical="center"/>
    </xf>
    <xf numFmtId="0" fontId="15" fillId="0" borderId="0" xfId="0" applyFont="1" applyAlignment="1">
      <alignment horizontal="center" vertical="center"/>
    </xf>
    <xf numFmtId="165" fontId="14" fillId="0" borderId="0" xfId="0" applyNumberFormat="1" applyFont="1" applyAlignment="1">
      <alignment horizontal="center" vertical="center" wrapText="1"/>
    </xf>
    <xf numFmtId="0" fontId="17" fillId="0" borderId="1" xfId="0" applyFont="1" applyBorder="1" applyAlignment="1">
      <alignment horizontal="center" vertical="center" wrapText="1"/>
    </xf>
    <xf numFmtId="0" fontId="16" fillId="0" borderId="0" xfId="0" applyFont="1"/>
    <xf numFmtId="0" fontId="18" fillId="0" borderId="0" xfId="0" applyFont="1" applyAlignment="1">
      <alignment horizontal="center" vertical="center" wrapText="1"/>
    </xf>
    <xf numFmtId="0" fontId="18" fillId="0" borderId="0" xfId="0" applyFont="1" applyFill="1" applyAlignment="1">
      <alignment horizontal="center" vertical="center"/>
    </xf>
    <xf numFmtId="0" fontId="18" fillId="0" borderId="0" xfId="0" applyNumberFormat="1" applyFont="1" applyFill="1" applyAlignment="1">
      <alignment horizontal="center" vertical="center"/>
    </xf>
    <xf numFmtId="0" fontId="13" fillId="0" borderId="0" xfId="0" applyFont="1" applyAlignment="1">
      <alignment horizontal="left" vertical="center" wrapText="1"/>
    </xf>
    <xf numFmtId="0" fontId="14" fillId="0" borderId="0" xfId="0" applyFont="1" applyAlignment="1">
      <alignment horizontal="left" vertical="center" wrapText="1"/>
    </xf>
    <xf numFmtId="0" fontId="17" fillId="0" borderId="1" xfId="0" applyFont="1" applyBorder="1" applyAlignment="1">
      <alignment horizontal="left" vertical="center" wrapText="1"/>
    </xf>
    <xf numFmtId="0" fontId="16" fillId="0" borderId="0" xfId="0" applyFont="1" applyAlignment="1">
      <alignment horizontal="left" vertical="center"/>
    </xf>
    <xf numFmtId="0" fontId="16" fillId="0" borderId="0" xfId="0" applyFont="1" applyAlignment="1">
      <alignment horizontal="left"/>
    </xf>
    <xf numFmtId="0" fontId="14" fillId="0" borderId="0" xfId="0" applyFont="1" applyAlignment="1">
      <alignment horizontal="left" vertical="center"/>
    </xf>
    <xf numFmtId="0" fontId="2" fillId="0" borderId="0" xfId="0" applyFont="1" applyAlignment="1">
      <alignment horizontal="left" vertical="center" wrapText="1"/>
    </xf>
    <xf numFmtId="0" fontId="15" fillId="0" borderId="0" xfId="0" applyFont="1" applyAlignment="1">
      <alignment horizontal="left" vertical="center" wrapText="1"/>
    </xf>
    <xf numFmtId="0" fontId="14" fillId="0" borderId="0" xfId="0" quotePrefix="1" applyFont="1" applyAlignment="1">
      <alignment horizontal="left" vertical="center"/>
    </xf>
    <xf numFmtId="0" fontId="15" fillId="0" borderId="0" xfId="0" applyFont="1" applyAlignment="1">
      <alignment horizontal="left" vertical="center"/>
    </xf>
    <xf numFmtId="0" fontId="2" fillId="0" borderId="0" xfId="0" applyFont="1" applyAlignment="1">
      <alignment horizontal="left" vertical="center"/>
    </xf>
    <xf numFmtId="0" fontId="8" fillId="0" borderId="0" xfId="0" applyFont="1" applyAlignment="1">
      <alignment wrapText="1"/>
    </xf>
  </cellXfs>
  <cellStyles count="5">
    <cellStyle name="Currency 2" xfId="2"/>
    <cellStyle name="Good" xfId="4" builtinId="26"/>
    <cellStyle name="Normal" xfId="0" builtinId="0"/>
    <cellStyle name="Normal 2" xfId="1"/>
    <cellStyle name="Normal 2 2" xfId="3"/>
  </cellStyles>
  <dxfs count="10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_ [$₹-4009]\ * #,##0.00_ ;_ [$₹-4009]\ * \-#,##0.00_ ;_ [$₹-4009]\ * &quot;-&quot;??_ ;_ @_ "/>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numFmt numFmtId="164" formatCode="[$-14009]dd/mm/yyyy;@"/>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14009]dd/mm/yyyy;@"/>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dxf>
    <dxf>
      <font>
        <b/>
        <i val="0"/>
        <strike val="0"/>
        <condense val="0"/>
        <extend val="0"/>
        <outline val="0"/>
        <shadow val="0"/>
        <u val="none"/>
        <vertAlign val="baseline"/>
        <sz val="11"/>
        <color theme="1"/>
        <name val="Calibri"/>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QCILAP1\Desktop\PPID%20Work\PPID%20Monthly%20Project%20Updates\2025\10.%20Oct\PPID_MonthlyUpdate_Oct'25%20(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QCILAP1\Desktop\PPID%20Work\PPID%20Monthly%20Project%20Updates\2025\9.%20Sep\PPID_MonlthyUpdate_Sep'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QCILAP1\Desktop\PPID%20Project%20Documents_Consolidated_Master%20Sheet_Update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ist%20of%20PPID%20Project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QCILAP1\Desktop\PPID%20Work\PPID%20Monthly%20Project%20Updates\2025\9.%20Sep\SEP\PPID_MonthlyUpdate_Sep'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QCILAP1\Desktop\PPID%20Work\PPID%20Monthly%20Project%20Updates\2025\12.%20Dec\PPID_MonthlyUpdate_Dec'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ra"/>
      <sheetName val="NR"/>
      <sheetName val="PF, P&amp;S"/>
      <sheetName val="T,C,W &amp; E "/>
      <sheetName val="Sheet1"/>
      <sheetName val="Nomination"/>
      <sheetName val="RFP"/>
      <sheetName val="Combined"/>
    </sheetNames>
    <sheetDataSet>
      <sheetData sheetId="0"/>
      <sheetData sheetId="1"/>
      <sheetData sheetId="2"/>
      <sheetData sheetId="3"/>
      <sheetData sheetId="4"/>
      <sheetData sheetId="5"/>
      <sheetData sheetId="6"/>
      <sheetData sheetId="7">
        <row r="1">
          <cell r="E1" t="str">
            <v>Project Code</v>
          </cell>
          <cell r="F1" t="str">
            <v>Nature of Project</v>
          </cell>
          <cell r="G1" t="str">
            <v>Award Type</v>
          </cell>
          <cell r="H1" t="str">
            <v>Work Order Value</v>
          </cell>
          <cell r="I1" t="str">
            <v xml:space="preserve">Project Status </v>
          </cell>
        </row>
        <row r="2">
          <cell r="E2" t="str">
            <v>PP00220</v>
          </cell>
          <cell r="F2" t="str">
            <v>Income Based</v>
          </cell>
          <cell r="G2" t="str">
            <v>Nomination</v>
          </cell>
          <cell r="H2">
            <v>17800000</v>
          </cell>
          <cell r="I2" t="str">
            <v>Ongoing</v>
          </cell>
        </row>
        <row r="3">
          <cell r="E3" t="str">
            <v>PP00259</v>
          </cell>
          <cell r="F3" t="str">
            <v>Income Based</v>
          </cell>
          <cell r="G3" t="str">
            <v>Nomination</v>
          </cell>
          <cell r="H3">
            <v>37576134</v>
          </cell>
          <cell r="I3" t="str">
            <v>Ongoing</v>
          </cell>
        </row>
        <row r="4">
          <cell r="E4" t="str">
            <v>PP00237</v>
          </cell>
          <cell r="F4" t="str">
            <v>Income Based</v>
          </cell>
          <cell r="G4" t="str">
            <v>Nomination</v>
          </cell>
          <cell r="H4">
            <v>44500000</v>
          </cell>
          <cell r="I4" t="str">
            <v>Ongoing</v>
          </cell>
        </row>
        <row r="5">
          <cell r="E5" t="str">
            <v>PP00119</v>
          </cell>
          <cell r="F5" t="str">
            <v>Income Based</v>
          </cell>
          <cell r="G5" t="str">
            <v>Nomination</v>
          </cell>
          <cell r="H5"/>
          <cell r="I5" t="str">
            <v>Ongoing</v>
          </cell>
        </row>
        <row r="6">
          <cell r="E6" t="str">
            <v>PP00210</v>
          </cell>
          <cell r="F6" t="str">
            <v>Income Based</v>
          </cell>
          <cell r="G6" t="str">
            <v>Nomination</v>
          </cell>
          <cell r="H6">
            <v>57456000</v>
          </cell>
          <cell r="I6" t="str">
            <v>Completed</v>
          </cell>
        </row>
        <row r="7">
          <cell r="E7" t="str">
            <v>PP00250</v>
          </cell>
          <cell r="F7" t="str">
            <v>Income Based</v>
          </cell>
          <cell r="G7" t="str">
            <v>Nomination</v>
          </cell>
          <cell r="H7">
            <v>12076400</v>
          </cell>
          <cell r="I7" t="str">
            <v>Completed</v>
          </cell>
        </row>
        <row r="8">
          <cell r="E8" t="str">
            <v>PP00251</v>
          </cell>
          <cell r="F8" t="str">
            <v>Income Based</v>
          </cell>
          <cell r="G8" t="str">
            <v>Nomination</v>
          </cell>
          <cell r="H8">
            <v>5300400</v>
          </cell>
          <cell r="I8" t="str">
            <v>Completed</v>
          </cell>
        </row>
        <row r="9">
          <cell r="E9" t="str">
            <v>PP00270</v>
          </cell>
          <cell r="F9" t="str">
            <v>Income Based</v>
          </cell>
          <cell r="G9" t="str">
            <v>Nomination</v>
          </cell>
          <cell r="H9" t="str">
            <v>1,88,79,900 
(5th March - 16th August 2025)</v>
          </cell>
          <cell r="I9" t="str">
            <v>Ongoing</v>
          </cell>
        </row>
        <row r="10">
          <cell r="E10" t="str">
            <v>PP00281</v>
          </cell>
          <cell r="F10" t="str">
            <v>Income Based</v>
          </cell>
          <cell r="G10" t="str">
            <v>Tender</v>
          </cell>
          <cell r="H10">
            <v>1705000</v>
          </cell>
          <cell r="I10" t="str">
            <v>Fully Closed</v>
          </cell>
        </row>
        <row r="11">
          <cell r="E11" t="str">
            <v>PP00284</v>
          </cell>
          <cell r="F11" t="str">
            <v>Income Based</v>
          </cell>
          <cell r="G11" t="str">
            <v>Tender</v>
          </cell>
          <cell r="H11">
            <v>2150500</v>
          </cell>
          <cell r="I11" t="str">
            <v>Fully Closed</v>
          </cell>
        </row>
        <row r="12">
          <cell r="E12" t="str">
            <v>PB00012</v>
          </cell>
          <cell r="F12" t="str">
            <v>Pro-Bono</v>
          </cell>
          <cell r="G12"/>
          <cell r="H12" t="str">
            <v>N/A</v>
          </cell>
          <cell r="I12" t="str">
            <v>Ongoing</v>
          </cell>
        </row>
        <row r="13">
          <cell r="E13" t="str">
            <v>PB00014</v>
          </cell>
          <cell r="F13" t="str">
            <v>Pro-Bono</v>
          </cell>
          <cell r="G13" t="str">
            <v>Nomination</v>
          </cell>
          <cell r="H13"/>
          <cell r="I13" t="str">
            <v>Fully Closed</v>
          </cell>
        </row>
        <row r="14">
          <cell r="E14" t="str">
            <v>PB00015</v>
          </cell>
          <cell r="F14" t="str">
            <v>Pro-Bono</v>
          </cell>
          <cell r="G14" t="str">
            <v>Nomination</v>
          </cell>
          <cell r="H14"/>
          <cell r="I14" t="str">
            <v>Fully Closed</v>
          </cell>
        </row>
        <row r="15">
          <cell r="E15" t="str">
            <v>PB00017</v>
          </cell>
          <cell r="F15" t="str">
            <v>Income Based</v>
          </cell>
          <cell r="G15"/>
          <cell r="H15">
            <v>246400</v>
          </cell>
          <cell r="I15" t="str">
            <v>Fully Closed</v>
          </cell>
        </row>
        <row r="16">
          <cell r="E16" t="str">
            <v>PB00018</v>
          </cell>
          <cell r="F16" t="str">
            <v>Pro-Bono</v>
          </cell>
          <cell r="G16" t="str">
            <v>Nomination</v>
          </cell>
          <cell r="H16"/>
          <cell r="I16" t="str">
            <v>Fully Closed</v>
          </cell>
        </row>
        <row r="17">
          <cell r="E17" t="str">
            <v>PB00019</v>
          </cell>
          <cell r="F17" t="str">
            <v>Pro-Bono</v>
          </cell>
          <cell r="G17" t="str">
            <v>Nomination</v>
          </cell>
          <cell r="H17"/>
          <cell r="I17" t="str">
            <v>Ongoing</v>
          </cell>
        </row>
        <row r="18">
          <cell r="E18" t="str">
            <v>PP00001</v>
          </cell>
          <cell r="F18" t="str">
            <v>Income Based</v>
          </cell>
          <cell r="G18" t="str">
            <v>Nomination</v>
          </cell>
          <cell r="H18"/>
          <cell r="I18" t="str">
            <v>Ongoing</v>
          </cell>
        </row>
        <row r="19">
          <cell r="E19" t="str">
            <v>PP00031</v>
          </cell>
          <cell r="F19" t="str">
            <v>Income Based</v>
          </cell>
          <cell r="G19" t="str">
            <v>Nomination</v>
          </cell>
          <cell r="H19"/>
          <cell r="I19" t="str">
            <v>Fully Closed</v>
          </cell>
        </row>
        <row r="20">
          <cell r="E20" t="str">
            <v>PP00037</v>
          </cell>
          <cell r="F20" t="str">
            <v>Income Based</v>
          </cell>
          <cell r="G20" t="str">
            <v>Nomination</v>
          </cell>
          <cell r="H20"/>
          <cell r="I20" t="str">
            <v>Fully Closed</v>
          </cell>
        </row>
        <row r="21">
          <cell r="E21" t="str">
            <v>PP00047</v>
          </cell>
          <cell r="F21" t="str">
            <v>Income Based</v>
          </cell>
          <cell r="G21" t="str">
            <v>Nomination</v>
          </cell>
          <cell r="H21"/>
          <cell r="I21" t="str">
            <v>Ongoing</v>
          </cell>
        </row>
        <row r="22">
          <cell r="E22" t="str">
            <v>PP00048</v>
          </cell>
          <cell r="F22" t="str">
            <v>Income Based</v>
          </cell>
          <cell r="G22" t="str">
            <v>Nomination</v>
          </cell>
          <cell r="H22" t="str">
            <v>Not fixed</v>
          </cell>
          <cell r="I22" t="str">
            <v>Ongoing</v>
          </cell>
        </row>
        <row r="23">
          <cell r="E23" t="str">
            <v>PP00052</v>
          </cell>
          <cell r="F23" t="str">
            <v>Income Based</v>
          </cell>
          <cell r="G23" t="str">
            <v>Nomination</v>
          </cell>
          <cell r="H23"/>
          <cell r="I23" t="str">
            <v>Ongoing</v>
          </cell>
        </row>
        <row r="24">
          <cell r="E24" t="str">
            <v>PP00055</v>
          </cell>
          <cell r="F24" t="str">
            <v>Income Based</v>
          </cell>
          <cell r="G24" t="str">
            <v>Nomination</v>
          </cell>
          <cell r="H24"/>
          <cell r="I24" t="str">
            <v>Completed</v>
          </cell>
        </row>
        <row r="25">
          <cell r="E25" t="str">
            <v>PP00070</v>
          </cell>
          <cell r="F25" t="str">
            <v>Income Based</v>
          </cell>
          <cell r="G25" t="str">
            <v>Nomination</v>
          </cell>
          <cell r="H25"/>
          <cell r="I25" t="str">
            <v>Fully Closed</v>
          </cell>
        </row>
        <row r="26">
          <cell r="E26" t="str">
            <v>PP00073</v>
          </cell>
          <cell r="F26" t="str">
            <v>Income Based</v>
          </cell>
          <cell r="G26" t="str">
            <v>Nomination</v>
          </cell>
          <cell r="H26">
            <v>10886400</v>
          </cell>
          <cell r="I26" t="str">
            <v>Ongoing</v>
          </cell>
        </row>
        <row r="27">
          <cell r="E27" t="str">
            <v>PP00076</v>
          </cell>
          <cell r="F27" t="str">
            <v>Income Based</v>
          </cell>
          <cell r="G27" t="str">
            <v>Nomination</v>
          </cell>
          <cell r="H27">
            <v>4008430</v>
          </cell>
          <cell r="I27" t="str">
            <v>Ongoing</v>
          </cell>
        </row>
        <row r="28">
          <cell r="E28" t="str">
            <v>PP00087</v>
          </cell>
          <cell r="F28" t="str">
            <v>Income Based</v>
          </cell>
          <cell r="G28" t="str">
            <v>Tender</v>
          </cell>
          <cell r="H28"/>
          <cell r="I28" t="str">
            <v>Ongoing</v>
          </cell>
        </row>
        <row r="29">
          <cell r="E29" t="str">
            <v>PP00088</v>
          </cell>
          <cell r="F29" t="str">
            <v>Income Based</v>
          </cell>
          <cell r="G29" t="str">
            <v>Tender</v>
          </cell>
          <cell r="H29"/>
          <cell r="I29" t="str">
            <v>Ongoing</v>
          </cell>
        </row>
        <row r="30">
          <cell r="E30" t="str">
            <v>PP00090</v>
          </cell>
          <cell r="F30" t="str">
            <v>Income Based</v>
          </cell>
          <cell r="G30" t="str">
            <v>Tender</v>
          </cell>
          <cell r="H30">
            <v>103136251.68000001</v>
          </cell>
          <cell r="I30" t="str">
            <v>Ongoing</v>
          </cell>
        </row>
        <row r="31">
          <cell r="E31" t="str">
            <v>PP00096</v>
          </cell>
          <cell r="F31" t="str">
            <v>Income Based</v>
          </cell>
          <cell r="G31" t="str">
            <v>Nomination</v>
          </cell>
          <cell r="H31" t="str">
            <v>2,51,03,512
(April'25 - March'26)</v>
          </cell>
          <cell r="I31" t="str">
            <v>Ongoing</v>
          </cell>
        </row>
        <row r="32">
          <cell r="E32" t="str">
            <v>PP00102</v>
          </cell>
          <cell r="F32" t="str">
            <v>Income Based</v>
          </cell>
          <cell r="G32" t="str">
            <v>Nomination</v>
          </cell>
          <cell r="H32"/>
          <cell r="I32" t="str">
            <v>Fully Closed</v>
          </cell>
        </row>
        <row r="33">
          <cell r="E33" t="str">
            <v>PP00114</v>
          </cell>
          <cell r="F33" t="str">
            <v>Income Based</v>
          </cell>
          <cell r="G33" t="str">
            <v>Nomination</v>
          </cell>
          <cell r="H33">
            <v>9923200</v>
          </cell>
          <cell r="I33" t="str">
            <v>Completed</v>
          </cell>
        </row>
        <row r="34">
          <cell r="E34" t="str">
            <v>PP00115</v>
          </cell>
          <cell r="F34" t="str">
            <v>Income Based</v>
          </cell>
          <cell r="G34" t="str">
            <v>Nomination</v>
          </cell>
          <cell r="H34"/>
          <cell r="I34" t="str">
            <v>Fully Closed</v>
          </cell>
        </row>
        <row r="35">
          <cell r="E35" t="str">
            <v>PP00120</v>
          </cell>
          <cell r="F35" t="str">
            <v>Income Based</v>
          </cell>
          <cell r="G35" t="str">
            <v>Tender</v>
          </cell>
          <cell r="H35">
            <v>39503868</v>
          </cell>
          <cell r="I35" t="str">
            <v>Ongoing</v>
          </cell>
        </row>
        <row r="36">
          <cell r="E36" t="str">
            <v>PP00125</v>
          </cell>
          <cell r="F36" t="str">
            <v>Income Based</v>
          </cell>
          <cell r="G36" t="str">
            <v>Nomination</v>
          </cell>
          <cell r="H36"/>
          <cell r="I36" t="str">
            <v>Fully Closed</v>
          </cell>
        </row>
        <row r="37">
          <cell r="E37" t="str">
            <v>PP00127</v>
          </cell>
          <cell r="F37" t="str">
            <v>Income Based</v>
          </cell>
          <cell r="G37" t="str">
            <v>Nomination</v>
          </cell>
          <cell r="H37"/>
          <cell r="I37" t="str">
            <v>Fully Closed</v>
          </cell>
        </row>
        <row r="38">
          <cell r="E38" t="str">
            <v>PP00128</v>
          </cell>
          <cell r="F38" t="str">
            <v>Income Based</v>
          </cell>
          <cell r="G38" t="str">
            <v>Nomination</v>
          </cell>
          <cell r="H38"/>
          <cell r="I38" t="str">
            <v>Fully Closed</v>
          </cell>
        </row>
        <row r="39">
          <cell r="E39" t="str">
            <v>PP00129</v>
          </cell>
          <cell r="F39" t="str">
            <v>Income Based</v>
          </cell>
          <cell r="G39" t="str">
            <v>Nomination</v>
          </cell>
          <cell r="H39"/>
          <cell r="I39" t="str">
            <v>Fully Closed</v>
          </cell>
        </row>
        <row r="40">
          <cell r="E40" t="str">
            <v>PP00132</v>
          </cell>
          <cell r="F40" t="str">
            <v>Income Based</v>
          </cell>
          <cell r="G40" t="str">
            <v>Tender</v>
          </cell>
          <cell r="H40"/>
          <cell r="I40" t="str">
            <v>Fully Closed</v>
          </cell>
        </row>
        <row r="41">
          <cell r="E41" t="str">
            <v>PP00133</v>
          </cell>
          <cell r="F41" t="str">
            <v>Income Based</v>
          </cell>
          <cell r="G41" t="str">
            <v>Nomination</v>
          </cell>
          <cell r="H41">
            <v>9811334.8200000003</v>
          </cell>
          <cell r="I41" t="str">
            <v>Completed</v>
          </cell>
        </row>
        <row r="42">
          <cell r="E42" t="str">
            <v>PP00134</v>
          </cell>
          <cell r="F42" t="str">
            <v>Income Based</v>
          </cell>
          <cell r="G42" t="str">
            <v>Nomination</v>
          </cell>
          <cell r="H42">
            <v>8949640</v>
          </cell>
          <cell r="I42" t="str">
            <v>Fully Closed</v>
          </cell>
        </row>
        <row r="43">
          <cell r="E43" t="str">
            <v>PP00141</v>
          </cell>
          <cell r="F43" t="str">
            <v>Income Based</v>
          </cell>
          <cell r="G43" t="str">
            <v>Nomination</v>
          </cell>
          <cell r="H43"/>
          <cell r="I43" t="str">
            <v>Ongoing</v>
          </cell>
        </row>
        <row r="44">
          <cell r="E44" t="str">
            <v>PP00143</v>
          </cell>
          <cell r="F44" t="str">
            <v>Income Based</v>
          </cell>
          <cell r="G44" t="str">
            <v>Nomination</v>
          </cell>
          <cell r="H44" t="str">
            <v>Rs 40,32,000 (Exlcluding Taxes) from 1st April, 2025, to 30th September, 2025.</v>
          </cell>
          <cell r="I44" t="str">
            <v>Ongoing</v>
          </cell>
        </row>
        <row r="45">
          <cell r="E45" t="str">
            <v>PP00146</v>
          </cell>
          <cell r="F45" t="str">
            <v>Income Based</v>
          </cell>
          <cell r="G45" t="str">
            <v>Nomination</v>
          </cell>
          <cell r="H45" t="str">
            <v>Rs. 65,52,000 (Exlcluding Taxes) from 1st April,2025, to 31st March, 2026.</v>
          </cell>
          <cell r="I45" t="str">
            <v>Ongoing</v>
          </cell>
        </row>
        <row r="46">
          <cell r="E46" t="str">
            <v>PP00149</v>
          </cell>
          <cell r="F46" t="str">
            <v>Income Based</v>
          </cell>
          <cell r="G46" t="str">
            <v>Nomination</v>
          </cell>
          <cell r="H46">
            <v>8794800</v>
          </cell>
          <cell r="I46" t="str">
            <v>Fully Closed</v>
          </cell>
        </row>
        <row r="47">
          <cell r="E47" t="str">
            <v>PP00151</v>
          </cell>
          <cell r="F47" t="str">
            <v>Income Based</v>
          </cell>
          <cell r="G47" t="str">
            <v>Nomination</v>
          </cell>
          <cell r="H47"/>
          <cell r="I47" t="str">
            <v>Ongoing</v>
          </cell>
        </row>
        <row r="48">
          <cell r="E48" t="str">
            <v>PP00153</v>
          </cell>
          <cell r="F48" t="str">
            <v>Income Based</v>
          </cell>
          <cell r="G48" t="str">
            <v>Nomination</v>
          </cell>
          <cell r="H48">
            <v>1396564</v>
          </cell>
          <cell r="I48" t="str">
            <v>Fully Closed</v>
          </cell>
        </row>
        <row r="49">
          <cell r="E49" t="str">
            <v>PP00155</v>
          </cell>
          <cell r="F49" t="str">
            <v>Income Based</v>
          </cell>
          <cell r="G49" t="str">
            <v>Nomination</v>
          </cell>
          <cell r="H49">
            <v>9000000</v>
          </cell>
          <cell r="I49" t="str">
            <v>Completed</v>
          </cell>
        </row>
        <row r="50">
          <cell r="E50" t="str">
            <v>PP00156</v>
          </cell>
          <cell r="F50" t="str">
            <v>Income Based</v>
          </cell>
          <cell r="G50" t="str">
            <v>Nomination</v>
          </cell>
          <cell r="H50" t="str">
            <v>Rs. 13,44,000 (Excluding Taxes)</v>
          </cell>
          <cell r="I50" t="str">
            <v>Ongoing</v>
          </cell>
        </row>
        <row r="51">
          <cell r="E51" t="str">
            <v>PP00157</v>
          </cell>
          <cell r="F51" t="str">
            <v>Income Based</v>
          </cell>
          <cell r="G51" t="str">
            <v>Nomination</v>
          </cell>
          <cell r="H51">
            <v>12509160</v>
          </cell>
          <cell r="I51" t="str">
            <v>Fully Closed</v>
          </cell>
        </row>
        <row r="52">
          <cell r="E52" t="str">
            <v>PP00158</v>
          </cell>
          <cell r="F52" t="str">
            <v>Income Based</v>
          </cell>
          <cell r="G52" t="str">
            <v>Nomination</v>
          </cell>
          <cell r="H52">
            <v>800000</v>
          </cell>
          <cell r="I52" t="str">
            <v>Completed</v>
          </cell>
        </row>
        <row r="53">
          <cell r="E53" t="str">
            <v>PP00159</v>
          </cell>
          <cell r="F53" t="str">
            <v>Income Based</v>
          </cell>
          <cell r="G53" t="str">
            <v>Nomination</v>
          </cell>
          <cell r="H53">
            <v>2490880</v>
          </cell>
          <cell r="I53" t="str">
            <v>Fully Closed</v>
          </cell>
        </row>
        <row r="54">
          <cell r="E54" t="str">
            <v>PP00160</v>
          </cell>
          <cell r="F54" t="str">
            <v>Income Based</v>
          </cell>
          <cell r="G54" t="str">
            <v>Nomination</v>
          </cell>
          <cell r="H54">
            <v>9294880</v>
          </cell>
          <cell r="I54" t="str">
            <v>Fully Closed</v>
          </cell>
        </row>
        <row r="55">
          <cell r="E55" t="str">
            <v>PP00161</v>
          </cell>
          <cell r="F55" t="str">
            <v>Income Based</v>
          </cell>
          <cell r="G55" t="str">
            <v>Nomination</v>
          </cell>
          <cell r="H55">
            <v>3095680</v>
          </cell>
          <cell r="I55" t="str">
            <v>Completed</v>
          </cell>
        </row>
        <row r="56">
          <cell r="E56" t="str">
            <v>PP00162</v>
          </cell>
          <cell r="F56" t="str">
            <v>Income Based</v>
          </cell>
          <cell r="G56" t="str">
            <v>Nomination</v>
          </cell>
          <cell r="H56">
            <v>2714946.78</v>
          </cell>
          <cell r="I56" t="str">
            <v>Fully Closed</v>
          </cell>
        </row>
        <row r="57">
          <cell r="E57" t="str">
            <v>PP00163</v>
          </cell>
          <cell r="F57" t="str">
            <v>Income Based</v>
          </cell>
          <cell r="G57" t="str">
            <v>Nomination</v>
          </cell>
          <cell r="H57">
            <v>4525498</v>
          </cell>
          <cell r="I57" t="str">
            <v>Fully Closed</v>
          </cell>
        </row>
        <row r="58">
          <cell r="E58" t="str">
            <v>PP00164</v>
          </cell>
          <cell r="F58" t="str">
            <v>Income Based</v>
          </cell>
          <cell r="G58" t="str">
            <v>Tender</v>
          </cell>
          <cell r="H58">
            <v>132411267</v>
          </cell>
          <cell r="I58" t="str">
            <v>Fully Closed</v>
          </cell>
        </row>
        <row r="59">
          <cell r="E59" t="str">
            <v>PP00167</v>
          </cell>
          <cell r="F59" t="str">
            <v>Income Based</v>
          </cell>
          <cell r="G59" t="str">
            <v>Nomination</v>
          </cell>
          <cell r="H59">
            <v>1013148</v>
          </cell>
          <cell r="I59" t="str">
            <v>Fully Closed</v>
          </cell>
        </row>
        <row r="60">
          <cell r="E60" t="str">
            <v>PP00168</v>
          </cell>
          <cell r="F60" t="str">
            <v>Income Based</v>
          </cell>
          <cell r="G60" t="str">
            <v>Nomination</v>
          </cell>
          <cell r="H60" t="str">
            <v>Rs. 65,52,000 (Exlcluding Taxes) from 1st April,2025, to 31st March, 2026.</v>
          </cell>
          <cell r="I60" t="str">
            <v>Ongoing</v>
          </cell>
        </row>
        <row r="61">
          <cell r="E61" t="str">
            <v>PP00170</v>
          </cell>
          <cell r="F61" t="str">
            <v>Income Based</v>
          </cell>
          <cell r="G61" t="str">
            <v>Tender</v>
          </cell>
          <cell r="H61">
            <v>13336271.189999999</v>
          </cell>
          <cell r="I61" t="str">
            <v>Completed</v>
          </cell>
        </row>
        <row r="62">
          <cell r="E62" t="str">
            <v>PP00173</v>
          </cell>
          <cell r="F62" t="str">
            <v>Income Based</v>
          </cell>
          <cell r="G62" t="str">
            <v>Tender</v>
          </cell>
          <cell r="H62">
            <v>3787840</v>
          </cell>
          <cell r="I62" t="str">
            <v>Completed</v>
          </cell>
        </row>
        <row r="63">
          <cell r="E63" t="str">
            <v>PP00175</v>
          </cell>
          <cell r="F63" t="str">
            <v>Income Based</v>
          </cell>
          <cell r="G63" t="str">
            <v>Nomination</v>
          </cell>
          <cell r="H63">
            <v>8584800</v>
          </cell>
          <cell r="I63" t="str">
            <v>Completed</v>
          </cell>
        </row>
        <row r="64">
          <cell r="E64" t="str">
            <v>PP00176</v>
          </cell>
          <cell r="F64" t="str">
            <v>Income Based</v>
          </cell>
          <cell r="G64" t="str">
            <v>Tender</v>
          </cell>
          <cell r="H64">
            <v>8016816</v>
          </cell>
          <cell r="I64" t="str">
            <v>Ongoing</v>
          </cell>
        </row>
        <row r="65">
          <cell r="E65" t="str">
            <v>PP00177</v>
          </cell>
          <cell r="F65" t="str">
            <v>Income Based</v>
          </cell>
          <cell r="G65" t="str">
            <v>Nomination</v>
          </cell>
          <cell r="H65">
            <v>3497150</v>
          </cell>
          <cell r="I65" t="str">
            <v>Completed</v>
          </cell>
        </row>
        <row r="66">
          <cell r="E66" t="str">
            <v>PP00178</v>
          </cell>
          <cell r="F66" t="str">
            <v>Income Based</v>
          </cell>
          <cell r="G66" t="str">
            <v>Nomination</v>
          </cell>
          <cell r="H66">
            <v>200000</v>
          </cell>
          <cell r="I66" t="str">
            <v>Fully Closed</v>
          </cell>
        </row>
        <row r="67">
          <cell r="E67" t="str">
            <v>PP00179</v>
          </cell>
          <cell r="F67" t="str">
            <v>Income Based</v>
          </cell>
          <cell r="G67" t="str">
            <v>Nomination</v>
          </cell>
          <cell r="H67">
            <v>3141600</v>
          </cell>
          <cell r="I67" t="str">
            <v>Fully Closed</v>
          </cell>
        </row>
        <row r="68">
          <cell r="E68" t="str">
            <v>PP00181</v>
          </cell>
          <cell r="F68" t="str">
            <v>Income Based</v>
          </cell>
          <cell r="G68"/>
          <cell r="H68">
            <v>63941651</v>
          </cell>
          <cell r="I68" t="str">
            <v>Fully Closed</v>
          </cell>
        </row>
        <row r="69">
          <cell r="E69" t="str">
            <v>PP00183</v>
          </cell>
          <cell r="F69" t="str">
            <v>Income Based</v>
          </cell>
          <cell r="G69" t="str">
            <v>Nomination</v>
          </cell>
          <cell r="H69" t="str">
            <v>Rs. 18,90,000 (Excluding Taxes)</v>
          </cell>
          <cell r="I69" t="str">
            <v>Ongoing</v>
          </cell>
        </row>
        <row r="70">
          <cell r="E70" t="str">
            <v>PP00184</v>
          </cell>
          <cell r="F70" t="str">
            <v>Income Based</v>
          </cell>
          <cell r="G70" t="str">
            <v>Tender</v>
          </cell>
          <cell r="H70">
            <v>1475170</v>
          </cell>
          <cell r="I70" t="str">
            <v>Fully Closed</v>
          </cell>
        </row>
        <row r="71">
          <cell r="E71" t="str">
            <v>PP00185</v>
          </cell>
          <cell r="F71" t="str">
            <v>Income Based</v>
          </cell>
          <cell r="G71" t="str">
            <v>Nomination</v>
          </cell>
          <cell r="H71">
            <v>7013130</v>
          </cell>
          <cell r="I71" t="str">
            <v>Fully Closed</v>
          </cell>
        </row>
        <row r="72">
          <cell r="E72" t="str">
            <v>PP00186</v>
          </cell>
          <cell r="F72" t="str">
            <v>Income Based</v>
          </cell>
          <cell r="G72" t="str">
            <v>Nomination</v>
          </cell>
          <cell r="H72">
            <v>1641701.13</v>
          </cell>
          <cell r="I72" t="str">
            <v>Ongoing</v>
          </cell>
        </row>
        <row r="73">
          <cell r="E73" t="str">
            <v>PP00187</v>
          </cell>
          <cell r="F73" t="str">
            <v>Income Based</v>
          </cell>
          <cell r="G73" t="str">
            <v>Nomination</v>
          </cell>
          <cell r="H73">
            <v>6090327.5300000003</v>
          </cell>
          <cell r="I73" t="str">
            <v>Fully Closed</v>
          </cell>
        </row>
        <row r="74">
          <cell r="E74" t="str">
            <v>PP00188</v>
          </cell>
          <cell r="F74" t="str">
            <v>Income Based</v>
          </cell>
          <cell r="G74" t="str">
            <v>Nomination</v>
          </cell>
          <cell r="H74">
            <v>7450240</v>
          </cell>
          <cell r="I74" t="str">
            <v>Fully Closed</v>
          </cell>
        </row>
        <row r="75">
          <cell r="E75" t="str">
            <v>PP00189</v>
          </cell>
          <cell r="F75" t="str">
            <v>Income Based</v>
          </cell>
          <cell r="G75" t="str">
            <v>Nomination</v>
          </cell>
          <cell r="H75"/>
          <cell r="I75" t="str">
            <v>Fully Closed</v>
          </cell>
        </row>
        <row r="76">
          <cell r="E76" t="str">
            <v>PP00191</v>
          </cell>
          <cell r="F76" t="str">
            <v>Income Based</v>
          </cell>
          <cell r="G76" t="str">
            <v>Nomination</v>
          </cell>
          <cell r="H76">
            <v>11062800</v>
          </cell>
          <cell r="I76" t="str">
            <v>Fully Closed</v>
          </cell>
        </row>
        <row r="77">
          <cell r="E77" t="str">
            <v>PP00192</v>
          </cell>
          <cell r="F77" t="str">
            <v>Income Based</v>
          </cell>
          <cell r="G77" t="str">
            <v>Nomination</v>
          </cell>
          <cell r="H77">
            <v>1690879</v>
          </cell>
          <cell r="I77" t="str">
            <v>Fully Closed</v>
          </cell>
        </row>
        <row r="78">
          <cell r="E78" t="str">
            <v>PP00193</v>
          </cell>
          <cell r="F78" t="str">
            <v>Income Based</v>
          </cell>
          <cell r="G78" t="str">
            <v>Nomination</v>
          </cell>
          <cell r="H78">
            <v>255333</v>
          </cell>
          <cell r="I78" t="str">
            <v>Completed</v>
          </cell>
        </row>
        <row r="79">
          <cell r="E79" t="str">
            <v>PP00194</v>
          </cell>
          <cell r="F79" t="str">
            <v>Income Based</v>
          </cell>
          <cell r="G79" t="str">
            <v>Nomination</v>
          </cell>
          <cell r="H79">
            <v>63205318</v>
          </cell>
          <cell r="I79" t="str">
            <v>Fully Closed</v>
          </cell>
        </row>
        <row r="80">
          <cell r="E80" t="str">
            <v>PP00195</v>
          </cell>
          <cell r="F80" t="str">
            <v>Income Based</v>
          </cell>
          <cell r="G80" t="str">
            <v>Nomination</v>
          </cell>
          <cell r="H80">
            <v>605409</v>
          </cell>
          <cell r="I80" t="str">
            <v>Fully Closed</v>
          </cell>
        </row>
        <row r="81">
          <cell r="E81" t="str">
            <v>PP00196</v>
          </cell>
          <cell r="F81" t="str">
            <v>Income Based</v>
          </cell>
          <cell r="G81" t="str">
            <v>Nomination</v>
          </cell>
          <cell r="H81">
            <v>44106366.299999997</v>
          </cell>
          <cell r="I81" t="str">
            <v>Ongoing</v>
          </cell>
        </row>
        <row r="82">
          <cell r="E82" t="str">
            <v>PP00197</v>
          </cell>
          <cell r="F82" t="str">
            <v>Income Based</v>
          </cell>
          <cell r="G82" t="str">
            <v>Nomination</v>
          </cell>
          <cell r="H82">
            <v>7500000</v>
          </cell>
          <cell r="I82" t="str">
            <v>Completed</v>
          </cell>
        </row>
        <row r="83">
          <cell r="E83" t="str">
            <v>PP00198</v>
          </cell>
          <cell r="F83" t="str">
            <v>Income Based</v>
          </cell>
          <cell r="G83" t="str">
            <v>Tender</v>
          </cell>
          <cell r="H83">
            <v>2627117.7999999998</v>
          </cell>
          <cell r="I83" t="str">
            <v>Ongoing</v>
          </cell>
        </row>
        <row r="84">
          <cell r="E84" t="str">
            <v>PP00199</v>
          </cell>
          <cell r="F84" t="str">
            <v>Income Based</v>
          </cell>
          <cell r="G84" t="str">
            <v>Nomination</v>
          </cell>
          <cell r="H84">
            <v>10980480</v>
          </cell>
          <cell r="I84" t="str">
            <v>Completed</v>
          </cell>
        </row>
        <row r="85">
          <cell r="E85" t="str">
            <v>PP00200</v>
          </cell>
          <cell r="F85" t="str">
            <v>Income Based</v>
          </cell>
          <cell r="G85" t="str">
            <v>Tender</v>
          </cell>
          <cell r="H85">
            <v>7109047.3700000001</v>
          </cell>
          <cell r="I85" t="str">
            <v>Completed</v>
          </cell>
        </row>
        <row r="86">
          <cell r="E86" t="str">
            <v>PP00201</v>
          </cell>
          <cell r="F86" t="str">
            <v>Income Based</v>
          </cell>
          <cell r="G86" t="str">
            <v>Nomination</v>
          </cell>
          <cell r="H86">
            <v>485595</v>
          </cell>
          <cell r="I86" t="str">
            <v>Fully Closed</v>
          </cell>
        </row>
        <row r="87">
          <cell r="E87" t="str">
            <v>PP00202</v>
          </cell>
          <cell r="F87" t="str">
            <v>Income Based</v>
          </cell>
          <cell r="G87" t="str">
            <v>Nomination</v>
          </cell>
          <cell r="H87">
            <v>1400000</v>
          </cell>
          <cell r="I87" t="str">
            <v>Fully Closed</v>
          </cell>
        </row>
        <row r="88">
          <cell r="E88" t="str">
            <v>PP00203</v>
          </cell>
          <cell r="F88" t="str">
            <v>Income Based</v>
          </cell>
          <cell r="G88" t="str">
            <v>Tender</v>
          </cell>
          <cell r="H88">
            <v>18166400</v>
          </cell>
          <cell r="I88" t="str">
            <v>Ongoing</v>
          </cell>
        </row>
        <row r="89">
          <cell r="E89" t="str">
            <v>PP00204</v>
          </cell>
          <cell r="F89" t="str">
            <v>Income Based</v>
          </cell>
          <cell r="G89" t="str">
            <v>Nomination</v>
          </cell>
          <cell r="H89">
            <v>28000000</v>
          </cell>
          <cell r="I89" t="str">
            <v>Fully Closed</v>
          </cell>
        </row>
        <row r="90">
          <cell r="E90" t="str">
            <v>PP00205</v>
          </cell>
          <cell r="F90" t="str">
            <v>Income Based</v>
          </cell>
          <cell r="G90" t="str">
            <v>Nomination</v>
          </cell>
          <cell r="H90">
            <v>1500000</v>
          </cell>
          <cell r="I90" t="str">
            <v>Fully Closed</v>
          </cell>
        </row>
        <row r="91">
          <cell r="E91" t="str">
            <v>PP00206</v>
          </cell>
          <cell r="F91" t="str">
            <v>Income Based</v>
          </cell>
          <cell r="G91" t="str">
            <v>Nomination</v>
          </cell>
          <cell r="H91" t="str">
            <v xml:space="preserve">₹ 58,93,449
</v>
          </cell>
          <cell r="I91" t="str">
            <v>Completed</v>
          </cell>
        </row>
        <row r="92">
          <cell r="E92" t="str">
            <v>PP00207</v>
          </cell>
          <cell r="F92" t="str">
            <v>Income Based</v>
          </cell>
          <cell r="G92" t="str">
            <v>Tender</v>
          </cell>
          <cell r="H92">
            <v>3722213.67</v>
          </cell>
          <cell r="I92" t="str">
            <v>Ongoing</v>
          </cell>
        </row>
        <row r="93">
          <cell r="E93" t="str">
            <v>PP00208</v>
          </cell>
          <cell r="F93" t="str">
            <v>Income Based</v>
          </cell>
          <cell r="G93" t="str">
            <v>Nomination</v>
          </cell>
          <cell r="H93">
            <v>9718800</v>
          </cell>
          <cell r="I93" t="str">
            <v>Fully Closed</v>
          </cell>
        </row>
        <row r="94">
          <cell r="E94" t="str">
            <v>PP00209</v>
          </cell>
          <cell r="F94" t="str">
            <v>Income Based</v>
          </cell>
          <cell r="G94" t="str">
            <v>Nomination</v>
          </cell>
          <cell r="H94">
            <v>3114608</v>
          </cell>
          <cell r="I94" t="str">
            <v>Fully Closed</v>
          </cell>
        </row>
        <row r="95">
          <cell r="E95" t="str">
            <v>PP00211</v>
          </cell>
          <cell r="F95" t="str">
            <v>Income Based</v>
          </cell>
          <cell r="G95" t="str">
            <v>Nomination</v>
          </cell>
          <cell r="H95">
            <v>3677260</v>
          </cell>
          <cell r="I95" t="str">
            <v>Completed</v>
          </cell>
        </row>
        <row r="96">
          <cell r="E96" t="str">
            <v>PP00212</v>
          </cell>
          <cell r="F96" t="str">
            <v>Income Based</v>
          </cell>
          <cell r="G96" t="str">
            <v>Nomination</v>
          </cell>
          <cell r="H96">
            <v>5824000</v>
          </cell>
          <cell r="I96" t="str">
            <v>Completed</v>
          </cell>
        </row>
        <row r="97">
          <cell r="E97" t="str">
            <v>PP00213</v>
          </cell>
          <cell r="F97" t="str">
            <v>Income Based</v>
          </cell>
          <cell r="G97" t="str">
            <v>Tender</v>
          </cell>
          <cell r="H97">
            <v>7431200</v>
          </cell>
          <cell r="I97" t="str">
            <v>Fully Closed</v>
          </cell>
        </row>
        <row r="98">
          <cell r="E98" t="str">
            <v>PP00214</v>
          </cell>
          <cell r="F98" t="str">
            <v>Income Based</v>
          </cell>
          <cell r="G98" t="str">
            <v>Nomination</v>
          </cell>
          <cell r="H98">
            <v>17119200</v>
          </cell>
          <cell r="I98" t="str">
            <v>Fully Closed</v>
          </cell>
        </row>
        <row r="99">
          <cell r="E99" t="str">
            <v>PP00215</v>
          </cell>
          <cell r="F99" t="str">
            <v>Income Based</v>
          </cell>
          <cell r="G99" t="str">
            <v>Nomination</v>
          </cell>
          <cell r="H99">
            <v>2608125</v>
          </cell>
          <cell r="I99" t="str">
            <v>Fully Closed</v>
          </cell>
        </row>
        <row r="100">
          <cell r="E100" t="str">
            <v>PP00216</v>
          </cell>
          <cell r="F100" t="str">
            <v>Income Based</v>
          </cell>
          <cell r="G100" t="str">
            <v>Nomination</v>
          </cell>
          <cell r="H100" t="str">
            <v>₹ 10,48,63,240</v>
          </cell>
          <cell r="I100" t="str">
            <v>Fully Closed</v>
          </cell>
        </row>
        <row r="101">
          <cell r="E101" t="str">
            <v>PP00217</v>
          </cell>
          <cell r="F101" t="str">
            <v>Income Based</v>
          </cell>
          <cell r="G101" t="str">
            <v>Nomination</v>
          </cell>
          <cell r="H101">
            <v>11032000</v>
          </cell>
          <cell r="I101" t="str">
            <v>Fully Closed</v>
          </cell>
        </row>
        <row r="102">
          <cell r="E102" t="str">
            <v>PP00218</v>
          </cell>
          <cell r="F102" t="str">
            <v>Income Based</v>
          </cell>
          <cell r="G102" t="str">
            <v>Nomination</v>
          </cell>
          <cell r="H102">
            <v>8326080</v>
          </cell>
          <cell r="I102" t="str">
            <v>Fully Closed</v>
          </cell>
        </row>
        <row r="103">
          <cell r="E103" t="str">
            <v>PP00219</v>
          </cell>
          <cell r="F103" t="str">
            <v>Income Based</v>
          </cell>
          <cell r="G103" t="str">
            <v>Nomination</v>
          </cell>
          <cell r="H103">
            <v>2079000</v>
          </cell>
          <cell r="I103" t="str">
            <v>Ongoing</v>
          </cell>
        </row>
        <row r="104">
          <cell r="E104" t="str">
            <v>PP00221</v>
          </cell>
          <cell r="F104" t="str">
            <v>Income Based</v>
          </cell>
          <cell r="G104" t="str">
            <v>Tender</v>
          </cell>
          <cell r="H104">
            <v>10513800</v>
          </cell>
          <cell r="I104" t="str">
            <v>Ongoing</v>
          </cell>
        </row>
        <row r="105">
          <cell r="E105" t="str">
            <v>PP00222</v>
          </cell>
          <cell r="F105" t="str">
            <v>Income Based</v>
          </cell>
          <cell r="G105" t="str">
            <v>Nomination</v>
          </cell>
          <cell r="H105">
            <v>21632893</v>
          </cell>
          <cell r="I105" t="str">
            <v>Completed</v>
          </cell>
        </row>
        <row r="106">
          <cell r="E106" t="str">
            <v>PP00223</v>
          </cell>
          <cell r="F106" t="str">
            <v>Income Based</v>
          </cell>
          <cell r="G106" t="str">
            <v>Nomination</v>
          </cell>
          <cell r="H106">
            <v>7766916</v>
          </cell>
          <cell r="I106" t="str">
            <v>Fully Closed</v>
          </cell>
        </row>
        <row r="107">
          <cell r="E107" t="str">
            <v>PP00224</v>
          </cell>
          <cell r="F107" t="str">
            <v>Income Based</v>
          </cell>
          <cell r="G107" t="str">
            <v>Tender</v>
          </cell>
          <cell r="H107">
            <v>19500000</v>
          </cell>
          <cell r="I107" t="str">
            <v>Ongoing</v>
          </cell>
        </row>
        <row r="108">
          <cell r="E108" t="str">
            <v>PP00225</v>
          </cell>
          <cell r="F108" t="str">
            <v>Income Based</v>
          </cell>
          <cell r="G108" t="str">
            <v>Nomination</v>
          </cell>
          <cell r="H108">
            <v>24062400</v>
          </cell>
          <cell r="I108" t="str">
            <v>Ongoing</v>
          </cell>
        </row>
        <row r="109">
          <cell r="E109" t="str">
            <v>PP00226</v>
          </cell>
          <cell r="F109" t="str">
            <v>Income Based</v>
          </cell>
          <cell r="G109" t="str">
            <v>Tender</v>
          </cell>
          <cell r="H109">
            <v>41500000</v>
          </cell>
          <cell r="I109" t="str">
            <v>Completed</v>
          </cell>
        </row>
        <row r="110">
          <cell r="E110" t="str">
            <v>PP00227</v>
          </cell>
          <cell r="F110" t="str">
            <v>Income Based</v>
          </cell>
          <cell r="G110" t="str">
            <v>Nomination</v>
          </cell>
          <cell r="H110">
            <v>6816300</v>
          </cell>
          <cell r="I110" t="str">
            <v>Ongoing</v>
          </cell>
        </row>
        <row r="111">
          <cell r="E111" t="str">
            <v>PP00228</v>
          </cell>
          <cell r="F111" t="str">
            <v>Income Based</v>
          </cell>
          <cell r="G111" t="str">
            <v>Nomination</v>
          </cell>
          <cell r="H111">
            <v>200000</v>
          </cell>
          <cell r="I111" t="str">
            <v>Fully Closed</v>
          </cell>
        </row>
        <row r="112">
          <cell r="E112" t="str">
            <v>PP00229</v>
          </cell>
          <cell r="F112" t="str">
            <v>Income Based</v>
          </cell>
          <cell r="G112" t="str">
            <v>Nomination</v>
          </cell>
          <cell r="H112">
            <v>37422000</v>
          </cell>
          <cell r="I112" t="str">
            <v>Ongoing</v>
          </cell>
        </row>
        <row r="113">
          <cell r="E113" t="str">
            <v>PP00230</v>
          </cell>
          <cell r="F113" t="str">
            <v>Income Based</v>
          </cell>
          <cell r="G113" t="str">
            <v>Nomination</v>
          </cell>
          <cell r="H113">
            <v>1780000</v>
          </cell>
          <cell r="I113" t="str">
            <v>Ongoing</v>
          </cell>
        </row>
        <row r="114">
          <cell r="E114" t="str">
            <v>PP00231</v>
          </cell>
          <cell r="F114" t="str">
            <v>Income Based</v>
          </cell>
          <cell r="G114" t="str">
            <v>Nomination</v>
          </cell>
          <cell r="H114">
            <v>111587584</v>
          </cell>
          <cell r="I114" t="str">
            <v>Completed</v>
          </cell>
        </row>
        <row r="115">
          <cell r="E115" t="str">
            <v>PP00232</v>
          </cell>
          <cell r="F115" t="str">
            <v>Income Based</v>
          </cell>
          <cell r="G115" t="str">
            <v>Nomination</v>
          </cell>
          <cell r="H115">
            <v>22713600</v>
          </cell>
          <cell r="I115" t="str">
            <v>Completed</v>
          </cell>
        </row>
        <row r="116">
          <cell r="E116" t="str">
            <v>PP00233</v>
          </cell>
          <cell r="F116" t="str">
            <v>Income Based</v>
          </cell>
          <cell r="G116" t="str">
            <v>Nomination</v>
          </cell>
          <cell r="H116">
            <v>21134400</v>
          </cell>
          <cell r="I116" t="str">
            <v>Fully Closed</v>
          </cell>
        </row>
        <row r="117">
          <cell r="E117" t="str">
            <v>PP00234</v>
          </cell>
          <cell r="F117" t="str">
            <v>Income Based</v>
          </cell>
          <cell r="G117" t="str">
            <v>Nomination</v>
          </cell>
          <cell r="H117">
            <v>343616</v>
          </cell>
          <cell r="I117" t="str">
            <v>Completed</v>
          </cell>
        </row>
        <row r="118">
          <cell r="E118" t="str">
            <v>PP00235</v>
          </cell>
          <cell r="F118" t="str">
            <v>Income Based</v>
          </cell>
          <cell r="G118" t="str">
            <v>Nomination</v>
          </cell>
          <cell r="H118">
            <v>277176</v>
          </cell>
          <cell r="I118" t="str">
            <v>Fully Closed</v>
          </cell>
        </row>
        <row r="119">
          <cell r="E119" t="str">
            <v>PP00236</v>
          </cell>
          <cell r="F119" t="str">
            <v>Income Based</v>
          </cell>
          <cell r="G119" t="str">
            <v>Tender</v>
          </cell>
          <cell r="H119">
            <v>2766400</v>
          </cell>
          <cell r="I119" t="str">
            <v>Ongoing</v>
          </cell>
        </row>
        <row r="120">
          <cell r="E120" t="str">
            <v>PP00238</v>
          </cell>
          <cell r="F120" t="str">
            <v>Income Based</v>
          </cell>
          <cell r="G120" t="str">
            <v>Nomination</v>
          </cell>
          <cell r="H120">
            <v>73500000</v>
          </cell>
          <cell r="I120" t="str">
            <v>Ongoing</v>
          </cell>
        </row>
        <row r="121">
          <cell r="E121" t="str">
            <v>PP00239</v>
          </cell>
          <cell r="F121" t="str">
            <v>Income Based</v>
          </cell>
          <cell r="G121" t="str">
            <v>Nomination</v>
          </cell>
          <cell r="H121">
            <v>1702400</v>
          </cell>
          <cell r="I121" t="str">
            <v>Completed</v>
          </cell>
        </row>
        <row r="122">
          <cell r="E122" t="str">
            <v>PP00240</v>
          </cell>
          <cell r="F122" t="str">
            <v>Income Based</v>
          </cell>
          <cell r="G122" t="str">
            <v>Tender</v>
          </cell>
          <cell r="H122">
            <v>24576271.18</v>
          </cell>
          <cell r="I122" t="str">
            <v>Completed</v>
          </cell>
        </row>
        <row r="123">
          <cell r="E123" t="str">
            <v>PP00241</v>
          </cell>
          <cell r="F123" t="str">
            <v>Income Based</v>
          </cell>
          <cell r="G123" t="str">
            <v>Nomination</v>
          </cell>
          <cell r="H123">
            <v>104863240</v>
          </cell>
          <cell r="I123" t="str">
            <v>Ongoing</v>
          </cell>
        </row>
        <row r="124">
          <cell r="E124" t="str">
            <v>PP00242</v>
          </cell>
          <cell r="F124" t="str">
            <v>Income Based</v>
          </cell>
          <cell r="G124" t="str">
            <v>Nomination</v>
          </cell>
          <cell r="H124">
            <v>18828465</v>
          </cell>
          <cell r="I124" t="str">
            <v>Fully Closed</v>
          </cell>
        </row>
        <row r="125">
          <cell r="E125" t="str">
            <v>PP00243</v>
          </cell>
          <cell r="F125" t="str">
            <v>Income Based</v>
          </cell>
          <cell r="G125" t="str">
            <v>Nomination</v>
          </cell>
          <cell r="H125">
            <v>13000000</v>
          </cell>
          <cell r="I125" t="str">
            <v>Ongoing</v>
          </cell>
        </row>
        <row r="126">
          <cell r="E126" t="str">
            <v>PP00244</v>
          </cell>
          <cell r="F126" t="str">
            <v>Income Based</v>
          </cell>
          <cell r="G126" t="str">
            <v>Nomination</v>
          </cell>
          <cell r="H126">
            <v>5959781</v>
          </cell>
          <cell r="I126" t="str">
            <v>Completed</v>
          </cell>
        </row>
        <row r="127">
          <cell r="E127" t="str">
            <v>PP00245</v>
          </cell>
          <cell r="F127" t="str">
            <v>Income Based</v>
          </cell>
          <cell r="G127" t="str">
            <v>Nomination</v>
          </cell>
          <cell r="H127">
            <v>36576960</v>
          </cell>
          <cell r="I127" t="str">
            <v>Ongoing</v>
          </cell>
        </row>
        <row r="128">
          <cell r="E128" t="str">
            <v>PP00246</v>
          </cell>
          <cell r="F128" t="str">
            <v>Income Based</v>
          </cell>
          <cell r="G128" t="str">
            <v>Tender</v>
          </cell>
          <cell r="H128">
            <v>9828000</v>
          </cell>
          <cell r="I128" t="str">
            <v>Ongoing</v>
          </cell>
        </row>
        <row r="129">
          <cell r="E129" t="str">
            <v>PP00247</v>
          </cell>
          <cell r="F129" t="str">
            <v>Income Based</v>
          </cell>
          <cell r="G129" t="str">
            <v>Nomination</v>
          </cell>
          <cell r="H129">
            <v>4936680</v>
          </cell>
          <cell r="I129" t="str">
            <v>Fully Closed</v>
          </cell>
        </row>
        <row r="130">
          <cell r="E130" t="str">
            <v>PP00248</v>
          </cell>
          <cell r="F130" t="str">
            <v>Income Based</v>
          </cell>
          <cell r="G130" t="str">
            <v>Nomination</v>
          </cell>
          <cell r="H130">
            <v>450000</v>
          </cell>
          <cell r="I130" t="str">
            <v>Fully Closed</v>
          </cell>
        </row>
        <row r="131">
          <cell r="E131" t="str">
            <v>PP00249</v>
          </cell>
          <cell r="F131" t="str">
            <v>Income Based</v>
          </cell>
          <cell r="G131" t="str">
            <v>Nomination</v>
          </cell>
          <cell r="H131">
            <v>2000000</v>
          </cell>
          <cell r="I131" t="str">
            <v>Completed</v>
          </cell>
        </row>
        <row r="132">
          <cell r="E132" t="str">
            <v>PP00252</v>
          </cell>
          <cell r="F132" t="str">
            <v>Income Based</v>
          </cell>
          <cell r="G132" t="str">
            <v>Tender</v>
          </cell>
          <cell r="H132">
            <v>3787840</v>
          </cell>
          <cell r="I132" t="str">
            <v>Completed</v>
          </cell>
        </row>
        <row r="133">
          <cell r="E133" t="str">
            <v>PP00253</v>
          </cell>
          <cell r="F133" t="str">
            <v>Income Based</v>
          </cell>
          <cell r="G133" t="str">
            <v>Nomination</v>
          </cell>
          <cell r="H133">
            <v>300000</v>
          </cell>
          <cell r="I133" t="str">
            <v>Completed</v>
          </cell>
        </row>
        <row r="134">
          <cell r="E134" t="str">
            <v>PP00254</v>
          </cell>
          <cell r="F134" t="str">
            <v>Income Based</v>
          </cell>
          <cell r="G134" t="str">
            <v>Nomination</v>
          </cell>
          <cell r="H134">
            <v>20077200</v>
          </cell>
          <cell r="I134" t="str">
            <v>Ongoing</v>
          </cell>
        </row>
        <row r="135">
          <cell r="E135" t="str">
            <v>PP00255</v>
          </cell>
          <cell r="F135" t="str">
            <v>Income Based</v>
          </cell>
          <cell r="G135" t="str">
            <v>Tender</v>
          </cell>
          <cell r="H135">
            <v>5428085.2699999996</v>
          </cell>
          <cell r="I135" t="str">
            <v>Ongoing</v>
          </cell>
        </row>
        <row r="136">
          <cell r="E136" t="str">
            <v>PP00256</v>
          </cell>
          <cell r="F136" t="str">
            <v>Income Based</v>
          </cell>
          <cell r="G136" t="str">
            <v>Nomination</v>
          </cell>
          <cell r="H136">
            <v>27360000</v>
          </cell>
          <cell r="I136" t="str">
            <v>Ongoing</v>
          </cell>
        </row>
        <row r="137">
          <cell r="E137" t="str">
            <v>PP00257</v>
          </cell>
          <cell r="F137" t="str">
            <v>Income Based</v>
          </cell>
          <cell r="G137" t="str">
            <v>Nomination</v>
          </cell>
          <cell r="H137">
            <v>21862400</v>
          </cell>
          <cell r="I137" t="str">
            <v>Booked under SPD from FY 2025-26</v>
          </cell>
        </row>
        <row r="138">
          <cell r="E138" t="str">
            <v>PP00258</v>
          </cell>
          <cell r="F138" t="str">
            <v>Income Based</v>
          </cell>
          <cell r="G138" t="str">
            <v>Tender</v>
          </cell>
          <cell r="H138">
            <v>1691200</v>
          </cell>
          <cell r="I138" t="str">
            <v>Fully Closed</v>
          </cell>
        </row>
        <row r="139">
          <cell r="E139" t="str">
            <v>PP00260</v>
          </cell>
          <cell r="F139" t="str">
            <v>Income Based</v>
          </cell>
          <cell r="G139" t="str">
            <v>Nomination</v>
          </cell>
          <cell r="H139">
            <v>10416000</v>
          </cell>
          <cell r="I139" t="str">
            <v>Ongoing</v>
          </cell>
        </row>
        <row r="140">
          <cell r="E140" t="str">
            <v>PP00261</v>
          </cell>
          <cell r="F140" t="str">
            <v>Income Based</v>
          </cell>
          <cell r="G140" t="str">
            <v>Nomination</v>
          </cell>
          <cell r="H140">
            <v>1512000</v>
          </cell>
          <cell r="I140" t="str">
            <v>Completed</v>
          </cell>
        </row>
        <row r="141">
          <cell r="E141" t="str">
            <v>PP00262</v>
          </cell>
          <cell r="F141" t="str">
            <v>Income Based</v>
          </cell>
          <cell r="G141" t="str">
            <v>Tender</v>
          </cell>
          <cell r="H141">
            <v>7169491.5300000003</v>
          </cell>
          <cell r="I141" t="str">
            <v>Ongoing</v>
          </cell>
        </row>
        <row r="142">
          <cell r="E142" t="str">
            <v>PP00263</v>
          </cell>
          <cell r="F142" t="str">
            <v>Income Based</v>
          </cell>
          <cell r="G142" t="str">
            <v>Nomination</v>
          </cell>
          <cell r="H142" t="str">
            <v>Rs. 13,44,000 (Exlcuding Taxes) from 8th January to 7th May, 2025.</v>
          </cell>
          <cell r="I142" t="str">
            <v>Completed</v>
          </cell>
        </row>
        <row r="143">
          <cell r="E143" t="str">
            <v>PP00265</v>
          </cell>
          <cell r="F143" t="str">
            <v>Income Based</v>
          </cell>
          <cell r="G143" t="str">
            <v>Nomination</v>
          </cell>
          <cell r="H143">
            <v>139539510</v>
          </cell>
          <cell r="I143" t="str">
            <v>Ongoing</v>
          </cell>
        </row>
        <row r="144">
          <cell r="E144" t="str">
            <v>PP00266</v>
          </cell>
          <cell r="F144" t="str">
            <v>Income Based</v>
          </cell>
          <cell r="G144" t="str">
            <v>Tender</v>
          </cell>
          <cell r="H144">
            <v>8326080</v>
          </cell>
          <cell r="I144" t="str">
            <v>Ongoing</v>
          </cell>
        </row>
        <row r="145">
          <cell r="E145" t="str">
            <v>PP00267</v>
          </cell>
          <cell r="F145" t="str">
            <v>Income Based</v>
          </cell>
          <cell r="G145" t="str">
            <v>Tender</v>
          </cell>
          <cell r="H145">
            <v>100171357</v>
          </cell>
          <cell r="I145" t="str">
            <v>Ongoing</v>
          </cell>
        </row>
        <row r="146">
          <cell r="E146" t="str">
            <v>PP00268</v>
          </cell>
          <cell r="F146" t="str">
            <v>Income Based</v>
          </cell>
          <cell r="G146" t="str">
            <v>Nomination</v>
          </cell>
          <cell r="H146">
            <v>99200</v>
          </cell>
          <cell r="I146" t="str">
            <v>Fully Closed</v>
          </cell>
        </row>
        <row r="147">
          <cell r="E147" t="str">
            <v>PP00269</v>
          </cell>
          <cell r="F147" t="str">
            <v>Income Based</v>
          </cell>
          <cell r="G147" t="str">
            <v>Nomination</v>
          </cell>
          <cell r="H147"/>
          <cell r="I147" t="str">
            <v>Ongoing</v>
          </cell>
        </row>
        <row r="148">
          <cell r="E148" t="str">
            <v>PP00271</v>
          </cell>
          <cell r="F148" t="str">
            <v>Income Based</v>
          </cell>
          <cell r="G148" t="str">
            <v>Nomination</v>
          </cell>
          <cell r="H148">
            <v>1036000</v>
          </cell>
          <cell r="I148" t="str">
            <v>Ongoing</v>
          </cell>
        </row>
        <row r="149">
          <cell r="E149" t="str">
            <v>PP00272</v>
          </cell>
          <cell r="F149" t="str">
            <v>Income Based</v>
          </cell>
          <cell r="G149" t="str">
            <v>Nomination</v>
          </cell>
          <cell r="H149">
            <v>2150400</v>
          </cell>
          <cell r="I149" t="str">
            <v>Ongoing</v>
          </cell>
        </row>
        <row r="150">
          <cell r="E150" t="str">
            <v>PP00273</v>
          </cell>
          <cell r="F150" t="str">
            <v>Income Based</v>
          </cell>
          <cell r="G150" t="str">
            <v>Nomination</v>
          </cell>
          <cell r="H150">
            <v>10886400</v>
          </cell>
          <cell r="I150" t="str">
            <v>Ongoing</v>
          </cell>
        </row>
        <row r="151">
          <cell r="E151" t="str">
            <v>PP00274</v>
          </cell>
          <cell r="F151" t="str">
            <v>Income Based</v>
          </cell>
          <cell r="G151" t="str">
            <v>Nomination</v>
          </cell>
          <cell r="H151">
            <v>337500</v>
          </cell>
          <cell r="I151" t="str">
            <v>Ongoing</v>
          </cell>
        </row>
        <row r="152">
          <cell r="E152" t="str">
            <v>PP00275</v>
          </cell>
          <cell r="F152" t="str">
            <v>Income Based</v>
          </cell>
          <cell r="G152" t="str">
            <v>Nomination</v>
          </cell>
          <cell r="H152">
            <v>1350240</v>
          </cell>
          <cell r="I152" t="str">
            <v>Ongoing</v>
          </cell>
        </row>
        <row r="153">
          <cell r="E153" t="str">
            <v>PP00276</v>
          </cell>
          <cell r="F153" t="str">
            <v>Income Based</v>
          </cell>
          <cell r="G153" t="str">
            <v>Tender</v>
          </cell>
          <cell r="H153">
            <v>26100000</v>
          </cell>
          <cell r="I153" t="str">
            <v>Ongoing</v>
          </cell>
        </row>
        <row r="154">
          <cell r="E154" t="str">
            <v>PP00277</v>
          </cell>
          <cell r="F154" t="str">
            <v>Income Based</v>
          </cell>
          <cell r="G154" t="str">
            <v>Nomination</v>
          </cell>
          <cell r="H154" t="str">
            <v>Rs. 66,24,800 (Excl. Taxes)</v>
          </cell>
          <cell r="I154" t="str">
            <v>Completed</v>
          </cell>
        </row>
        <row r="155">
          <cell r="E155" t="str">
            <v>PP00278</v>
          </cell>
          <cell r="F155" t="str">
            <v>Income Based</v>
          </cell>
          <cell r="G155" t="str">
            <v>Nomination</v>
          </cell>
          <cell r="H155">
            <v>1355932</v>
          </cell>
          <cell r="I155" t="str">
            <v>Completed</v>
          </cell>
        </row>
        <row r="156">
          <cell r="E156" t="str">
            <v>PP00279</v>
          </cell>
          <cell r="F156" t="str">
            <v>Income Based</v>
          </cell>
          <cell r="G156" t="str">
            <v>Tender</v>
          </cell>
          <cell r="H156">
            <v>1995337</v>
          </cell>
          <cell r="I156" t="str">
            <v>Ongoing</v>
          </cell>
        </row>
        <row r="157">
          <cell r="E157" t="str">
            <v>PP00280</v>
          </cell>
          <cell r="F157" t="str">
            <v>Income Based</v>
          </cell>
          <cell r="G157" t="str">
            <v>Tender</v>
          </cell>
          <cell r="H157">
            <v>3178200</v>
          </cell>
          <cell r="I157" t="str">
            <v>Ongoing</v>
          </cell>
        </row>
        <row r="158">
          <cell r="E158" t="str">
            <v>PP00282</v>
          </cell>
          <cell r="F158" t="str">
            <v>Income Based</v>
          </cell>
          <cell r="G158" t="str">
            <v>Nomination</v>
          </cell>
          <cell r="H158">
            <v>1108800</v>
          </cell>
          <cell r="I158" t="str">
            <v>Ongoing</v>
          </cell>
        </row>
        <row r="159">
          <cell r="E159" t="str">
            <v>PP00283</v>
          </cell>
          <cell r="F159" t="str">
            <v>Income Based</v>
          </cell>
          <cell r="G159" t="str">
            <v>Nomination</v>
          </cell>
          <cell r="H159">
            <v>23661100</v>
          </cell>
          <cell r="I159" t="str">
            <v>Ongoing</v>
          </cell>
        </row>
        <row r="160">
          <cell r="E160" t="str">
            <v>PP00285</v>
          </cell>
          <cell r="F160" t="str">
            <v>Income Based</v>
          </cell>
          <cell r="G160" t="str">
            <v>Nomination</v>
          </cell>
          <cell r="H160">
            <v>278417</v>
          </cell>
          <cell r="I160" t="str">
            <v>Completed</v>
          </cell>
        </row>
        <row r="161">
          <cell r="E161" t="str">
            <v>PP00286</v>
          </cell>
          <cell r="F161" t="str">
            <v>Income Based</v>
          </cell>
          <cell r="G161" t="str">
            <v>Nomination</v>
          </cell>
          <cell r="H161">
            <v>8496278</v>
          </cell>
          <cell r="I161" t="str">
            <v>Ongoing</v>
          </cell>
        </row>
        <row r="162">
          <cell r="E162" t="str">
            <v>PP00287</v>
          </cell>
          <cell r="F162" t="str">
            <v>Income Based</v>
          </cell>
          <cell r="G162" t="str">
            <v>Tender</v>
          </cell>
          <cell r="H162">
            <v>108160639</v>
          </cell>
          <cell r="I162" t="str">
            <v>Ongoing</v>
          </cell>
        </row>
        <row r="163">
          <cell r="E163" t="str">
            <v>PP00288</v>
          </cell>
          <cell r="F163" t="str">
            <v>Income Based</v>
          </cell>
          <cell r="G163" t="str">
            <v>Tender</v>
          </cell>
          <cell r="H163">
            <v>1335121.1864406781</v>
          </cell>
          <cell r="I163" t="str">
            <v>Ongoing</v>
          </cell>
        </row>
        <row r="164">
          <cell r="E164" t="str">
            <v>PP00289</v>
          </cell>
          <cell r="F164" t="str">
            <v>Income Based</v>
          </cell>
          <cell r="G164" t="str">
            <v>Tender</v>
          </cell>
          <cell r="H164">
            <v>1279041.3559322036</v>
          </cell>
          <cell r="I164" t="str">
            <v>Ongoing</v>
          </cell>
        </row>
        <row r="165">
          <cell r="E165" t="str">
            <v>PP00290</v>
          </cell>
          <cell r="F165" t="str">
            <v>Income Based</v>
          </cell>
          <cell r="G165" t="str">
            <v>Tender</v>
          </cell>
          <cell r="H165">
            <v>3822925.42</v>
          </cell>
          <cell r="I165" t="str">
            <v>Ongoing</v>
          </cell>
        </row>
        <row r="166">
          <cell r="E166" t="str">
            <v>PP00291</v>
          </cell>
          <cell r="F166" t="str">
            <v>Income Based</v>
          </cell>
          <cell r="G166" t="str">
            <v>Nomination</v>
          </cell>
          <cell r="H166">
            <v>680624</v>
          </cell>
          <cell r="I166" t="str">
            <v>Completed</v>
          </cell>
        </row>
        <row r="167">
          <cell r="E167" t="str">
            <v>PP00292</v>
          </cell>
          <cell r="F167" t="str">
            <v>Income Based</v>
          </cell>
          <cell r="G167" t="str">
            <v>Tender</v>
          </cell>
          <cell r="H167">
            <v>2918720.338983051</v>
          </cell>
          <cell r="I167" t="str">
            <v>Ongoing</v>
          </cell>
        </row>
        <row r="168">
          <cell r="E168" t="str">
            <v>PP00293</v>
          </cell>
          <cell r="F168" t="str">
            <v>Income Based</v>
          </cell>
          <cell r="G168" t="str">
            <v>Nomination</v>
          </cell>
          <cell r="H168">
            <v>14533635</v>
          </cell>
          <cell r="I168" t="str">
            <v>Ongoing</v>
          </cell>
        </row>
        <row r="169">
          <cell r="E169" t="str">
            <v>PP00294</v>
          </cell>
          <cell r="F169" t="str">
            <v>Income Based</v>
          </cell>
          <cell r="G169" t="str">
            <v>Tender</v>
          </cell>
          <cell r="H169">
            <v>2105490.677966102</v>
          </cell>
          <cell r="I169" t="str">
            <v>Ongoing</v>
          </cell>
        </row>
        <row r="170">
          <cell r="E170" t="str">
            <v>PP00295</v>
          </cell>
          <cell r="F170" t="str">
            <v>Income Based</v>
          </cell>
          <cell r="G170" t="str">
            <v>Nomination</v>
          </cell>
          <cell r="H170">
            <v>4414880</v>
          </cell>
          <cell r="I170" t="str">
            <v>Ongoing</v>
          </cell>
        </row>
        <row r="171">
          <cell r="E171" t="str">
            <v>PP00296</v>
          </cell>
          <cell r="F171" t="str">
            <v>Income Based</v>
          </cell>
          <cell r="G171" t="str">
            <v>Nomination</v>
          </cell>
          <cell r="H171">
            <v>48662512</v>
          </cell>
          <cell r="I171" t="str">
            <v>Ongoing</v>
          </cell>
        </row>
        <row r="172">
          <cell r="E172" t="str">
            <v>PP00297</v>
          </cell>
          <cell r="F172" t="str">
            <v>Income Based</v>
          </cell>
          <cell r="G172" t="str">
            <v>Tender</v>
          </cell>
          <cell r="H172">
            <v>4182864</v>
          </cell>
          <cell r="I172" t="str">
            <v>Ongoing</v>
          </cell>
        </row>
        <row r="173">
          <cell r="E173" t="str">
            <v>PP00298</v>
          </cell>
          <cell r="F173" t="str">
            <v>Income Based</v>
          </cell>
          <cell r="G173" t="str">
            <v>Tender</v>
          </cell>
          <cell r="H173">
            <v>12938464</v>
          </cell>
          <cell r="I173" t="str">
            <v>Ongoing</v>
          </cell>
        </row>
        <row r="174">
          <cell r="E174" t="str">
            <v>PP00299</v>
          </cell>
          <cell r="F174" t="str">
            <v>Income Based</v>
          </cell>
          <cell r="G174" t="str">
            <v>Nomination</v>
          </cell>
          <cell r="H174">
            <v>12348060</v>
          </cell>
          <cell r="I174" t="str">
            <v>Ongoing</v>
          </cell>
        </row>
        <row r="175">
          <cell r="E175" t="str">
            <v>PP00300</v>
          </cell>
          <cell r="F175" t="str">
            <v>Income Based</v>
          </cell>
          <cell r="G175" t="str">
            <v>Tender</v>
          </cell>
          <cell r="H175">
            <v>6912480.9576271195</v>
          </cell>
          <cell r="I175" t="str">
            <v>Ongoing</v>
          </cell>
        </row>
        <row r="176">
          <cell r="E176" t="str">
            <v>PP00301</v>
          </cell>
          <cell r="F176" t="str">
            <v>Income Based</v>
          </cell>
          <cell r="G176" t="str">
            <v>Tender</v>
          </cell>
          <cell r="H176">
            <v>6912480.9576271195</v>
          </cell>
          <cell r="I176" t="str">
            <v>Ongoing</v>
          </cell>
        </row>
        <row r="177">
          <cell r="E177" t="str">
            <v>PP00302</v>
          </cell>
          <cell r="F177" t="str">
            <v>Income Based</v>
          </cell>
          <cell r="G177" t="str">
            <v>Tender</v>
          </cell>
          <cell r="H177">
            <v>5927154</v>
          </cell>
          <cell r="I177" t="str">
            <v>Ongoing</v>
          </cell>
        </row>
        <row r="178">
          <cell r="E178" t="str">
            <v>PP00303</v>
          </cell>
          <cell r="F178" t="str">
            <v>Income Based</v>
          </cell>
          <cell r="G178" t="str">
            <v>Tender</v>
          </cell>
          <cell r="H178">
            <v>43575000</v>
          </cell>
          <cell r="I178" t="str">
            <v>Ongoing</v>
          </cell>
        </row>
        <row r="179">
          <cell r="E179" t="str">
            <v>PP00304</v>
          </cell>
          <cell r="F179" t="str">
            <v>Income Based</v>
          </cell>
          <cell r="G179" t="str">
            <v>RFP</v>
          </cell>
          <cell r="H179">
            <v>4212203.5199999996</v>
          </cell>
          <cell r="I179" t="str">
            <v>Completed</v>
          </cell>
        </row>
        <row r="180">
          <cell r="E180" t="str">
            <v>PP00305</v>
          </cell>
          <cell r="F180" t="str">
            <v>Income Based</v>
          </cell>
          <cell r="G180" t="str">
            <v>Nomination</v>
          </cell>
          <cell r="H180">
            <v>4413528</v>
          </cell>
          <cell r="I180" t="str">
            <v>Ongoing</v>
          </cell>
        </row>
        <row r="181">
          <cell r="E181" t="str">
            <v>PP00306</v>
          </cell>
          <cell r="F181" t="str">
            <v>Income Based</v>
          </cell>
          <cell r="G181" t="str">
            <v>Nomination</v>
          </cell>
          <cell r="H181">
            <v>21926820</v>
          </cell>
          <cell r="I181" t="str">
            <v>Ongoing</v>
          </cell>
        </row>
        <row r="182">
          <cell r="E182" t="str">
            <v>PP00307</v>
          </cell>
          <cell r="F182" t="str">
            <v>Income Based</v>
          </cell>
          <cell r="G182" t="str">
            <v>Nomination</v>
          </cell>
          <cell r="H182">
            <v>2681301</v>
          </cell>
          <cell r="I182" t="str">
            <v>Ongoing</v>
          </cell>
        </row>
        <row r="183">
          <cell r="E183" t="str">
            <v>PP00308</v>
          </cell>
          <cell r="F183" t="str">
            <v>Income Based</v>
          </cell>
          <cell r="G183" t="str">
            <v>Tender</v>
          </cell>
          <cell r="H183">
            <v>11065692</v>
          </cell>
          <cell r="I183" t="str">
            <v>Ongoing</v>
          </cell>
        </row>
        <row r="184">
          <cell r="E184" t="str">
            <v>PP00309</v>
          </cell>
          <cell r="F184" t="str">
            <v>Income Based</v>
          </cell>
          <cell r="G184" t="str">
            <v>Nomination</v>
          </cell>
          <cell r="H184">
            <v>2128560</v>
          </cell>
          <cell r="I184" t="str">
            <v>Ongoing</v>
          </cell>
        </row>
        <row r="185">
          <cell r="E185" t="str">
            <v>PP00310</v>
          </cell>
          <cell r="F185" t="str">
            <v>Income Based</v>
          </cell>
          <cell r="G185" t="str">
            <v>Nomination</v>
          </cell>
          <cell r="H185"/>
          <cell r="I185" t="str">
            <v>Ongoing</v>
          </cell>
        </row>
        <row r="186">
          <cell r="E186" t="str">
            <v>PP00311</v>
          </cell>
          <cell r="F186" t="str">
            <v>Income Based</v>
          </cell>
          <cell r="G186" t="str">
            <v>Nomination</v>
          </cell>
          <cell r="H186">
            <v>24131184</v>
          </cell>
          <cell r="I186" t="str">
            <v>Ongoing</v>
          </cell>
        </row>
        <row r="187">
          <cell r="E187" t="str">
            <v>PP00312</v>
          </cell>
          <cell r="F187"/>
          <cell r="G187"/>
          <cell r="H187">
            <v>884800</v>
          </cell>
          <cell r="I187" t="str">
            <v>Ongoing</v>
          </cell>
        </row>
        <row r="188">
          <cell r="E188" t="str">
            <v>PP00313</v>
          </cell>
          <cell r="F188"/>
          <cell r="G188" t="str">
            <v>Nomination</v>
          </cell>
          <cell r="H188">
            <v>7795200</v>
          </cell>
          <cell r="I188" t="str">
            <v>Ongoing</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bined "/>
      <sheetName val="A &amp; F"/>
      <sheetName val="NR"/>
      <sheetName val="F &amp; H"/>
      <sheetName val="Infra"/>
      <sheetName val="T,C,W &amp; E"/>
      <sheetName val="PF, P&amp;S"/>
      <sheetName val="Nomination"/>
      <sheetName val="RFP"/>
    </sheetNames>
    <sheetDataSet>
      <sheetData sheetId="0" refreshError="1">
        <row r="1">
          <cell r="E1" t="str">
            <v>Project Code</v>
          </cell>
          <cell r="F1" t="str">
            <v>Nature of Project</v>
          </cell>
          <cell r="G1" t="str">
            <v>Award Type</v>
          </cell>
          <cell r="H1" t="str">
            <v>Work Order Value</v>
          </cell>
          <cell r="I1" t="str">
            <v xml:space="preserve">Project Status </v>
          </cell>
          <cell r="J1" t="str">
            <v>Client/Ministry/Department Name</v>
          </cell>
          <cell r="K1" t="str">
            <v>Sector/Domain</v>
          </cell>
          <cell r="L1" t="str">
            <v>Project Start Date
(DD-MM-YYYY)</v>
          </cell>
          <cell r="M1" t="str">
            <v>Project End Date
(DD/MM/YYYY)</v>
          </cell>
          <cell r="N1" t="str">
            <v>Project Revised End Date
(DD/MM/YYYY)</v>
          </cell>
        </row>
        <row r="2">
          <cell r="E2" t="str">
            <v>PB00012</v>
          </cell>
          <cell r="F2" t="str">
            <v>Pro-Bono</v>
          </cell>
          <cell r="H2" t="str">
            <v>N/A</v>
          </cell>
          <cell r="I2" t="str">
            <v>Ongoing</v>
          </cell>
          <cell r="J2" t="str">
            <v>Nashik Municipal Corporation</v>
          </cell>
          <cell r="K2" t="str">
            <v>Sanitaion, Education and Skill development</v>
          </cell>
          <cell r="L2">
            <v>45075</v>
          </cell>
          <cell r="M2">
            <v>46171</v>
          </cell>
        </row>
        <row r="3">
          <cell r="E3" t="str">
            <v>PB00014</v>
          </cell>
          <cell r="F3" t="str">
            <v>Pro-Bono</v>
          </cell>
          <cell r="G3" t="str">
            <v>Nomination</v>
          </cell>
          <cell r="I3" t="str">
            <v>Fully Closed</v>
          </cell>
          <cell r="J3" t="str">
            <v>Cooperative</v>
          </cell>
          <cell r="K3" t="str">
            <v>Bio energy</v>
          </cell>
          <cell r="L3">
            <v>45087</v>
          </cell>
          <cell r="M3">
            <v>45475</v>
          </cell>
        </row>
        <row r="4">
          <cell r="E4" t="str">
            <v>PB00015</v>
          </cell>
          <cell r="F4" t="str">
            <v>Pro-Bono</v>
          </cell>
          <cell r="G4" t="str">
            <v>Nomination</v>
          </cell>
          <cell r="I4" t="str">
            <v>Fully Closed</v>
          </cell>
          <cell r="J4" t="str">
            <v>DFPD</v>
          </cell>
          <cell r="K4" t="str">
            <v>Food</v>
          </cell>
          <cell r="L4">
            <v>45055</v>
          </cell>
          <cell r="M4">
            <v>45239</v>
          </cell>
        </row>
        <row r="5">
          <cell r="E5" t="str">
            <v>PB00017</v>
          </cell>
          <cell r="F5" t="str">
            <v>Income Based</v>
          </cell>
          <cell r="H5">
            <v>246400</v>
          </cell>
          <cell r="I5" t="str">
            <v>Fully Closed</v>
          </cell>
          <cell r="J5" t="str">
            <v>SILF</v>
          </cell>
          <cell r="K5" t="str">
            <v>Social Impact</v>
          </cell>
          <cell r="L5">
            <v>44938</v>
          </cell>
          <cell r="M5">
            <v>45350</v>
          </cell>
        </row>
        <row r="6">
          <cell r="E6" t="str">
            <v>PB00018</v>
          </cell>
          <cell r="F6" t="str">
            <v>Pro-Bono</v>
          </cell>
          <cell r="G6" t="str">
            <v>Nomination</v>
          </cell>
          <cell r="I6" t="str">
            <v>Fully Closed</v>
          </cell>
          <cell r="J6" t="str">
            <v>Ministry of Culture</v>
          </cell>
          <cell r="K6" t="str">
            <v>Arts, Culture &amp; Heritage</v>
          </cell>
          <cell r="L6">
            <v>45383</v>
          </cell>
          <cell r="M6">
            <v>45427</v>
          </cell>
        </row>
        <row r="7">
          <cell r="E7" t="str">
            <v>PB00019</v>
          </cell>
          <cell r="F7" t="str">
            <v>Pro-Bono</v>
          </cell>
          <cell r="G7" t="str">
            <v>Nomination</v>
          </cell>
          <cell r="I7" t="str">
            <v>Ongoing</v>
          </cell>
          <cell r="J7" t="str">
            <v>Shri Somnath Trust</v>
          </cell>
          <cell r="K7" t="str">
            <v>Tourism</v>
          </cell>
          <cell r="L7">
            <v>45385</v>
          </cell>
          <cell r="M7">
            <v>45999</v>
          </cell>
        </row>
        <row r="8">
          <cell r="E8" t="str">
            <v>PP00001</v>
          </cell>
          <cell r="F8" t="str">
            <v>Income Based</v>
          </cell>
          <cell r="G8" t="str">
            <v>Nomination</v>
          </cell>
          <cell r="I8" t="str">
            <v>Ongoing</v>
          </cell>
          <cell r="J8" t="str">
            <v>Coal India Limited</v>
          </cell>
          <cell r="K8" t="str">
            <v>Coal</v>
          </cell>
          <cell r="L8">
            <v>42881</v>
          </cell>
          <cell r="M8">
            <v>46532</v>
          </cell>
        </row>
        <row r="9">
          <cell r="E9" t="str">
            <v>PP00031</v>
          </cell>
          <cell r="F9" t="str">
            <v>Income Based</v>
          </cell>
          <cell r="G9" t="str">
            <v>Nomination</v>
          </cell>
          <cell r="H9">
            <v>4804272</v>
          </cell>
          <cell r="I9" t="str">
            <v>Ongoing</v>
          </cell>
          <cell r="J9" t="str">
            <v>MoSJ</v>
          </cell>
          <cell r="K9" t="str">
            <v>Social Welfare</v>
          </cell>
          <cell r="L9">
            <v>42879</v>
          </cell>
          <cell r="M9" t="str">
            <v>NA</v>
          </cell>
        </row>
        <row r="10">
          <cell r="E10" t="str">
            <v>PP00037</v>
          </cell>
          <cell r="F10" t="str">
            <v>Income Based</v>
          </cell>
          <cell r="G10" t="str">
            <v>Nomination</v>
          </cell>
          <cell r="I10" t="str">
            <v>Fully Closed</v>
          </cell>
          <cell r="J10" t="str">
            <v>GeM</v>
          </cell>
          <cell r="K10" t="str">
            <v xml:space="preserve">Commerce </v>
          </cell>
          <cell r="L10">
            <v>43101</v>
          </cell>
          <cell r="M10">
            <v>45295</v>
          </cell>
        </row>
        <row r="11">
          <cell r="E11" t="str">
            <v>PP00047</v>
          </cell>
          <cell r="F11" t="str">
            <v>Income Based</v>
          </cell>
          <cell r="G11" t="str">
            <v>Nomination</v>
          </cell>
          <cell r="I11" t="str">
            <v>Ongoing</v>
          </cell>
          <cell r="J11" t="str">
            <v>NHA/MoHFW</v>
          </cell>
          <cell r="K11" t="str">
            <v>Health</v>
          </cell>
          <cell r="L11">
            <v>43805</v>
          </cell>
          <cell r="M11">
            <v>44840</v>
          </cell>
          <cell r="N11">
            <v>45818</v>
          </cell>
        </row>
        <row r="12">
          <cell r="E12" t="str">
            <v>PP00048</v>
          </cell>
          <cell r="F12" t="str">
            <v>Income Based</v>
          </cell>
          <cell r="G12" t="str">
            <v>Nomination</v>
          </cell>
          <cell r="H12" t="str">
            <v>Not fixed</v>
          </cell>
          <cell r="I12" t="str">
            <v>Ongoing</v>
          </cell>
          <cell r="J12" t="str">
            <v>Ministry of Finance</v>
          </cell>
          <cell r="K12" t="str">
            <v>Finance</v>
          </cell>
          <cell r="L12">
            <v>43468</v>
          </cell>
          <cell r="M12">
            <v>46022</v>
          </cell>
        </row>
        <row r="13">
          <cell r="E13" t="str">
            <v>PP00052</v>
          </cell>
          <cell r="F13" t="str">
            <v>Income Based</v>
          </cell>
          <cell r="G13" t="str">
            <v>Nomination</v>
          </cell>
          <cell r="I13" t="str">
            <v>Ongoing</v>
          </cell>
          <cell r="J13" t="str">
            <v>FOOD AND DRUGS AUTHORITY, GOA</v>
          </cell>
          <cell r="K13" t="str">
            <v>Fishery</v>
          </cell>
          <cell r="L13">
            <v>43631</v>
          </cell>
          <cell r="M13" t="str">
            <v>As per requirements of DFDA, Goa</v>
          </cell>
        </row>
        <row r="14">
          <cell r="E14" t="str">
            <v>PP00055</v>
          </cell>
          <cell r="F14" t="str">
            <v>Income Based</v>
          </cell>
          <cell r="G14" t="str">
            <v>Nomination</v>
          </cell>
          <cell r="I14" t="str">
            <v>Completed</v>
          </cell>
          <cell r="J14" t="str">
            <v>GeM</v>
          </cell>
          <cell r="K14" t="str">
            <v>Commerce</v>
          </cell>
          <cell r="L14">
            <v>43626</v>
          </cell>
          <cell r="M14">
            <v>45473</v>
          </cell>
        </row>
        <row r="15">
          <cell r="E15" t="str">
            <v>PP00070</v>
          </cell>
          <cell r="F15" t="str">
            <v>Income Based</v>
          </cell>
          <cell r="G15" t="str">
            <v>Nomination</v>
          </cell>
          <cell r="I15" t="str">
            <v>Fully Closed</v>
          </cell>
          <cell r="J15" t="str">
            <v>LAPL</v>
          </cell>
          <cell r="K15" t="str">
            <v>Coal</v>
          </cell>
          <cell r="L15">
            <v>43854</v>
          </cell>
          <cell r="M15">
            <v>45153</v>
          </cell>
        </row>
        <row r="16">
          <cell r="E16" t="str">
            <v>PP00073</v>
          </cell>
          <cell r="F16" t="str">
            <v>Income Based</v>
          </cell>
          <cell r="G16" t="str">
            <v>Nomination</v>
          </cell>
          <cell r="H16">
            <v>10886400</v>
          </cell>
          <cell r="I16" t="str">
            <v>Ongoing</v>
          </cell>
          <cell r="J16" t="str">
            <v>Ministry of Finance</v>
          </cell>
          <cell r="L16">
            <v>43739</v>
          </cell>
          <cell r="M16">
            <v>45930</v>
          </cell>
          <cell r="N16">
            <v>46721</v>
          </cell>
        </row>
        <row r="17">
          <cell r="E17" t="str">
            <v>PP00076</v>
          </cell>
          <cell r="F17" t="str">
            <v>Income Based</v>
          </cell>
          <cell r="G17" t="str">
            <v>Nomination</v>
          </cell>
          <cell r="H17">
            <v>4008430</v>
          </cell>
          <cell r="I17" t="str">
            <v>Ongoing</v>
          </cell>
          <cell r="J17" t="str">
            <v>MHA</v>
          </cell>
          <cell r="M17">
            <v>45746</v>
          </cell>
          <cell r="N17">
            <v>46111</v>
          </cell>
        </row>
        <row r="18">
          <cell r="E18" t="str">
            <v>PP00087</v>
          </cell>
          <cell r="F18" t="str">
            <v>Income Based</v>
          </cell>
          <cell r="G18" t="str">
            <v>Tender</v>
          </cell>
          <cell r="I18" t="str">
            <v>Ongoing</v>
          </cell>
          <cell r="J18" t="str">
            <v>OCPL</v>
          </cell>
          <cell r="K18" t="str">
            <v>Coal</v>
          </cell>
          <cell r="L18">
            <v>43908</v>
          </cell>
          <cell r="M18">
            <v>45747</v>
          </cell>
          <cell r="N18">
            <v>46112</v>
          </cell>
        </row>
        <row r="19">
          <cell r="E19" t="str">
            <v>PP00088</v>
          </cell>
          <cell r="F19" t="str">
            <v>Income Based</v>
          </cell>
          <cell r="G19" t="str">
            <v>Tender</v>
          </cell>
          <cell r="I19" t="str">
            <v>Ongoing</v>
          </cell>
          <cell r="J19" t="str">
            <v>JSWEBL</v>
          </cell>
          <cell r="K19" t="str">
            <v>Coal</v>
          </cell>
          <cell r="L19">
            <v>43839</v>
          </cell>
          <cell r="M19">
            <v>47361</v>
          </cell>
        </row>
        <row r="20">
          <cell r="E20" t="str">
            <v>PP00090</v>
          </cell>
          <cell r="F20" t="str">
            <v>Income Based</v>
          </cell>
          <cell r="G20" t="str">
            <v>Tender</v>
          </cell>
          <cell r="H20">
            <v>103136251.68000001</v>
          </cell>
          <cell r="I20" t="str">
            <v>Ongoing</v>
          </cell>
          <cell r="J20" t="str">
            <v>MoJS</v>
          </cell>
          <cell r="K20" t="str">
            <v>Water</v>
          </cell>
          <cell r="L20">
            <v>44124</v>
          </cell>
          <cell r="M20">
            <v>45928</v>
          </cell>
        </row>
        <row r="21">
          <cell r="E21" t="str">
            <v>PP00096</v>
          </cell>
          <cell r="F21" t="str">
            <v>Income Based</v>
          </cell>
          <cell r="G21" t="str">
            <v>Nomination</v>
          </cell>
          <cell r="H21" t="str">
            <v>6,78,08,000 
(Jan'24 - March'25)</v>
          </cell>
          <cell r="I21" t="str">
            <v>Ongoing</v>
          </cell>
          <cell r="J21" t="str">
            <v>MoHUA</v>
          </cell>
          <cell r="K21" t="str">
            <v>Social &amp; Financial Inclsuion</v>
          </cell>
          <cell r="L21">
            <v>44136</v>
          </cell>
          <cell r="M21">
            <v>45747</v>
          </cell>
          <cell r="N21">
            <v>46112</v>
          </cell>
        </row>
        <row r="22">
          <cell r="E22" t="str">
            <v>PP00102</v>
          </cell>
          <cell r="F22" t="str">
            <v>Income Based</v>
          </cell>
          <cell r="G22" t="str">
            <v>Nomination</v>
          </cell>
          <cell r="I22" t="str">
            <v>Fully Closed</v>
          </cell>
          <cell r="J22" t="str">
            <v>FCI</v>
          </cell>
          <cell r="K22" t="str">
            <v>Food Security, Warehouses</v>
          </cell>
          <cell r="L22">
            <v>44317</v>
          </cell>
          <cell r="M22">
            <v>44592</v>
          </cell>
        </row>
        <row r="23">
          <cell r="E23" t="str">
            <v>PP00114</v>
          </cell>
          <cell r="F23" t="str">
            <v>Income Based</v>
          </cell>
          <cell r="G23" t="str">
            <v>Nomination</v>
          </cell>
          <cell r="H23">
            <v>9923200</v>
          </cell>
          <cell r="I23" t="str">
            <v>Completed</v>
          </cell>
          <cell r="J23" t="str">
            <v>ONGC</v>
          </cell>
          <cell r="K23" t="str">
            <v>Healthcare &amp; Medical Devices Sector.</v>
          </cell>
          <cell r="L23">
            <v>44401</v>
          </cell>
          <cell r="M23">
            <v>44691</v>
          </cell>
        </row>
        <row r="24">
          <cell r="E24" t="str">
            <v>PP00115</v>
          </cell>
          <cell r="F24" t="str">
            <v>Income Based</v>
          </cell>
          <cell r="G24" t="str">
            <v>Nomination</v>
          </cell>
          <cell r="I24" t="str">
            <v>Fully Closed</v>
          </cell>
          <cell r="J24" t="str">
            <v>CBC</v>
          </cell>
        </row>
        <row r="25">
          <cell r="E25" t="str">
            <v>PP00119</v>
          </cell>
          <cell r="F25" t="str">
            <v>Income Based</v>
          </cell>
          <cell r="G25" t="str">
            <v>Nomination</v>
          </cell>
          <cell r="I25" t="str">
            <v>Ongoing</v>
          </cell>
          <cell r="J25" t="str">
            <v>NLC India Limited</v>
          </cell>
          <cell r="K25" t="str">
            <v>Coal</v>
          </cell>
          <cell r="L25">
            <v>45492</v>
          </cell>
          <cell r="M25">
            <v>46532</v>
          </cell>
        </row>
        <row r="26">
          <cell r="E26" t="str">
            <v>PP00120</v>
          </cell>
          <cell r="F26" t="str">
            <v>Income Based</v>
          </cell>
          <cell r="G26" t="str">
            <v>Tender</v>
          </cell>
          <cell r="H26">
            <v>39503868</v>
          </cell>
          <cell r="I26" t="str">
            <v>Ongoing</v>
          </cell>
          <cell r="J26" t="str">
            <v>Department of Jal Shakti, HP</v>
          </cell>
          <cell r="K26" t="str">
            <v>Infrastructure, Water Supply</v>
          </cell>
          <cell r="L26">
            <v>44531</v>
          </cell>
          <cell r="M26">
            <v>45473</v>
          </cell>
          <cell r="N26">
            <v>45869</v>
          </cell>
        </row>
        <row r="27">
          <cell r="E27" t="str">
            <v>PP00125</v>
          </cell>
          <cell r="F27" t="str">
            <v>Income Based</v>
          </cell>
          <cell r="G27" t="str">
            <v>Nomination</v>
          </cell>
          <cell r="I27" t="str">
            <v>Fully Closed</v>
          </cell>
          <cell r="J27" t="str">
            <v>Parichha Thermal Power Project</v>
          </cell>
          <cell r="K27" t="str">
            <v>Coal</v>
          </cell>
          <cell r="L27">
            <v>44836</v>
          </cell>
          <cell r="M27">
            <v>45322</v>
          </cell>
        </row>
        <row r="28">
          <cell r="E28" t="str">
            <v>PP00127</v>
          </cell>
          <cell r="F28" t="str">
            <v>Income Based</v>
          </cell>
          <cell r="G28" t="str">
            <v>Nomination</v>
          </cell>
          <cell r="I28" t="str">
            <v>Fully Closed</v>
          </cell>
          <cell r="J28" t="str">
            <v>DC Office, Jammu</v>
          </cell>
          <cell r="K28" t="str">
            <v>Water Conservation</v>
          </cell>
          <cell r="L28">
            <v>44745</v>
          </cell>
          <cell r="M28">
            <v>44601</v>
          </cell>
          <cell r="N28" t="str">
            <v>NA</v>
          </cell>
        </row>
        <row r="29">
          <cell r="E29" t="str">
            <v>PP00128</v>
          </cell>
          <cell r="F29" t="str">
            <v>Income Based</v>
          </cell>
          <cell r="G29" t="str">
            <v>Nomination</v>
          </cell>
          <cell r="I29" t="str">
            <v>Fully Closed</v>
          </cell>
          <cell r="J29" t="str">
            <v>DC Office, Jammu</v>
          </cell>
          <cell r="K29" t="str">
            <v>Capacity Building for ISO (9001:2015)</v>
          </cell>
          <cell r="L29">
            <v>44715</v>
          </cell>
          <cell r="M29">
            <v>44796</v>
          </cell>
          <cell r="N29" t="str">
            <v>NA</v>
          </cell>
        </row>
        <row r="30">
          <cell r="E30" t="str">
            <v>PP00129</v>
          </cell>
          <cell r="F30" t="str">
            <v>Income Based</v>
          </cell>
          <cell r="G30" t="str">
            <v>Nomination</v>
          </cell>
          <cell r="I30" t="str">
            <v>Fully Closed</v>
          </cell>
          <cell r="J30" t="str">
            <v>FCI</v>
          </cell>
          <cell r="K30" t="str">
            <v>Food Security</v>
          </cell>
          <cell r="L30">
            <v>44540</v>
          </cell>
          <cell r="M30">
            <v>45203</v>
          </cell>
        </row>
        <row r="31">
          <cell r="E31" t="str">
            <v>PP00132</v>
          </cell>
          <cell r="F31" t="str">
            <v>Income Based</v>
          </cell>
          <cell r="G31" t="str">
            <v>Tender</v>
          </cell>
          <cell r="I31" t="str">
            <v>Fully Closed</v>
          </cell>
          <cell r="J31" t="str">
            <v>MoHUA</v>
          </cell>
          <cell r="K31" t="str">
            <v xml:space="preserve">Urban Governance </v>
          </cell>
          <cell r="L31">
            <v>44684</v>
          </cell>
          <cell r="M31">
            <v>45372</v>
          </cell>
        </row>
        <row r="32">
          <cell r="E32" t="str">
            <v>PP00133</v>
          </cell>
          <cell r="F32" t="str">
            <v>Income Based</v>
          </cell>
          <cell r="G32" t="str">
            <v>Nomination</v>
          </cell>
          <cell r="H32">
            <v>9811334.8200000003</v>
          </cell>
          <cell r="I32" t="str">
            <v>Completed</v>
          </cell>
          <cell r="J32" t="str">
            <v>PHED, Govt. of Haryana</v>
          </cell>
          <cell r="K32" t="str">
            <v>Water</v>
          </cell>
          <cell r="L32">
            <v>44680</v>
          </cell>
          <cell r="M32">
            <v>45657</v>
          </cell>
          <cell r="N32" t="str">
            <v>-</v>
          </cell>
        </row>
        <row r="33">
          <cell r="E33" t="str">
            <v>PP00134</v>
          </cell>
          <cell r="F33" t="str">
            <v>Income Based</v>
          </cell>
          <cell r="G33" t="str">
            <v>Nomination</v>
          </cell>
          <cell r="H33">
            <v>8949640</v>
          </cell>
          <cell r="I33" t="str">
            <v>Fully Closed</v>
          </cell>
          <cell r="J33" t="str">
            <v>Ministry of Culture</v>
          </cell>
          <cell r="K33" t="str">
            <v>Arts, Culture &amp; Heritage</v>
          </cell>
          <cell r="L33">
            <v>44706</v>
          </cell>
          <cell r="M33">
            <v>45238</v>
          </cell>
        </row>
        <row r="34">
          <cell r="E34" t="str">
            <v>PP00141</v>
          </cell>
          <cell r="F34" t="str">
            <v>Income Based</v>
          </cell>
          <cell r="G34" t="str">
            <v>Nomination</v>
          </cell>
          <cell r="I34" t="str">
            <v>Ongoing</v>
          </cell>
          <cell r="J34" t="str">
            <v>NTPL</v>
          </cell>
          <cell r="K34" t="str">
            <v>Coal</v>
          </cell>
          <cell r="L34">
            <v>44749</v>
          </cell>
          <cell r="M34">
            <v>45838</v>
          </cell>
        </row>
        <row r="35">
          <cell r="E35" t="str">
            <v>PP00143</v>
          </cell>
          <cell r="F35" t="str">
            <v>Income Based</v>
          </cell>
          <cell r="G35" t="str">
            <v>Nomination</v>
          </cell>
          <cell r="H35" t="str">
            <v>Rs 40,32,000 (Exlcluding Taxes) from 1st April, 2025, to 30th September, 2025.</v>
          </cell>
          <cell r="I35" t="str">
            <v>Ongoing</v>
          </cell>
          <cell r="J35" t="str">
            <v>Department of Administrative Reforms and Public Grievances</v>
          </cell>
          <cell r="K35" t="str">
            <v>Governance</v>
          </cell>
          <cell r="L35" t="str">
            <v>14-07-2022</v>
          </cell>
          <cell r="M35" t="str">
            <v>30-09-2025</v>
          </cell>
          <cell r="N35" t="str">
            <v>-</v>
          </cell>
        </row>
        <row r="36">
          <cell r="E36" t="str">
            <v>PP00146</v>
          </cell>
          <cell r="F36" t="str">
            <v>Income Based</v>
          </cell>
          <cell r="G36" t="str">
            <v>Nomination</v>
          </cell>
          <cell r="H36" t="str">
            <v>Rs. 65,52,000 (Exlcluding Taxes) from 1st April,2025, to 31st March, 2026.</v>
          </cell>
          <cell r="I36" t="str">
            <v>Ongoing</v>
          </cell>
          <cell r="J36" t="str">
            <v>Department of Administrative Reforms and Public Grievances</v>
          </cell>
          <cell r="K36" t="str">
            <v>Governance</v>
          </cell>
          <cell r="L36">
            <v>44842</v>
          </cell>
          <cell r="M36" t="str">
            <v>31-03-2026</v>
          </cell>
          <cell r="N36" t="str">
            <v>-</v>
          </cell>
        </row>
        <row r="37">
          <cell r="E37" t="str">
            <v>PP00149</v>
          </cell>
          <cell r="F37" t="str">
            <v>Income Based</v>
          </cell>
          <cell r="G37" t="str">
            <v>Nomination</v>
          </cell>
          <cell r="H37">
            <v>8794800</v>
          </cell>
          <cell r="I37" t="str">
            <v>Fully Closed</v>
          </cell>
          <cell r="J37" t="str">
            <v>MoRTH</v>
          </cell>
          <cell r="K37" t="str">
            <v>Infrastructure</v>
          </cell>
          <cell r="L37">
            <v>44823</v>
          </cell>
          <cell r="M37">
            <v>45445</v>
          </cell>
        </row>
        <row r="38">
          <cell r="E38" t="str">
            <v>PP00151</v>
          </cell>
          <cell r="F38" t="str">
            <v>Income Based</v>
          </cell>
          <cell r="G38" t="str">
            <v>Nomination</v>
          </cell>
          <cell r="I38" t="str">
            <v>Ongoing</v>
          </cell>
          <cell r="J38" t="str">
            <v>Refex, SEPC, JPL Dhule, Ms Fuels, Omaxe</v>
          </cell>
          <cell r="K38" t="str">
            <v>Coal</v>
          </cell>
          <cell r="L38">
            <v>44804</v>
          </cell>
        </row>
        <row r="39">
          <cell r="E39" t="str">
            <v>PP00153</v>
          </cell>
          <cell r="F39" t="str">
            <v>Income Based</v>
          </cell>
          <cell r="G39" t="str">
            <v>Nomination</v>
          </cell>
          <cell r="H39">
            <v>1396564</v>
          </cell>
          <cell r="I39" t="str">
            <v>Fully Closed</v>
          </cell>
          <cell r="J39" t="str">
            <v>DPIIT</v>
          </cell>
          <cell r="K39" t="str">
            <v>Leather &amp; Footwear</v>
          </cell>
          <cell r="L39">
            <v>44751</v>
          </cell>
          <cell r="M39">
            <v>44925</v>
          </cell>
          <cell r="N39" t="str">
            <v>NA</v>
          </cell>
        </row>
        <row r="40">
          <cell r="E40" t="str">
            <v>PP00155</v>
          </cell>
          <cell r="F40" t="str">
            <v>Income Based</v>
          </cell>
          <cell r="G40" t="str">
            <v>Nomination</v>
          </cell>
          <cell r="H40">
            <v>9000000</v>
          </cell>
          <cell r="I40" t="str">
            <v>Completed</v>
          </cell>
          <cell r="J40" t="str">
            <v xml:space="preserve">Lanco Amarkantak </v>
          </cell>
          <cell r="K40" t="str">
            <v>Coal</v>
          </cell>
          <cell r="L40">
            <v>44883</v>
          </cell>
          <cell r="M40">
            <v>45626</v>
          </cell>
        </row>
        <row r="41">
          <cell r="E41" t="str">
            <v>PP00156</v>
          </cell>
          <cell r="F41" t="str">
            <v>Income Based</v>
          </cell>
          <cell r="G41" t="str">
            <v>Nomination</v>
          </cell>
          <cell r="H41" t="str">
            <v>Rs. 13,44,000 (Excluding Taxes)</v>
          </cell>
          <cell r="I41" t="str">
            <v>Ongoing</v>
          </cell>
          <cell r="J41" t="str">
            <v>DPIIT</v>
          </cell>
          <cell r="K41" t="str">
            <v>Governance</v>
          </cell>
          <cell r="L41" t="str">
            <v>31-10-2022</v>
          </cell>
          <cell r="M41" t="str">
            <v>31-01-2023</v>
          </cell>
          <cell r="N41" t="str">
            <v>30-09-2025</v>
          </cell>
        </row>
        <row r="42">
          <cell r="E42" t="str">
            <v>PP00157</v>
          </cell>
          <cell r="F42" t="str">
            <v>Income Based</v>
          </cell>
          <cell r="G42" t="str">
            <v>Nomination</v>
          </cell>
          <cell r="H42">
            <v>12509160</v>
          </cell>
          <cell r="I42" t="str">
            <v>Fully Closed</v>
          </cell>
          <cell r="J42" t="str">
            <v>Samagra Shiksha, Department of Education, Andhra Pradesh</v>
          </cell>
          <cell r="K42" t="str">
            <v>Education</v>
          </cell>
          <cell r="L42">
            <v>44902</v>
          </cell>
          <cell r="M42">
            <v>45023</v>
          </cell>
        </row>
        <row r="43">
          <cell r="E43" t="str">
            <v>PP00158</v>
          </cell>
          <cell r="F43" t="str">
            <v>Income Based</v>
          </cell>
          <cell r="G43" t="str">
            <v>Nomination</v>
          </cell>
          <cell r="H43">
            <v>800000</v>
          </cell>
          <cell r="I43" t="str">
            <v>Completed</v>
          </cell>
          <cell r="J43" t="str">
            <v>NTPC</v>
          </cell>
          <cell r="K43" t="str">
            <v>Coal</v>
          </cell>
          <cell r="L43">
            <v>44632</v>
          </cell>
          <cell r="M43">
            <v>45596</v>
          </cell>
        </row>
        <row r="44">
          <cell r="E44" t="str">
            <v>PP00159</v>
          </cell>
          <cell r="F44" t="str">
            <v>Income Based</v>
          </cell>
          <cell r="G44" t="str">
            <v>Nomination</v>
          </cell>
          <cell r="H44">
            <v>2490880</v>
          </cell>
          <cell r="I44" t="str">
            <v>Fully Closed</v>
          </cell>
          <cell r="J44" t="str">
            <v>DPIIT</v>
          </cell>
          <cell r="K44" t="str">
            <v>Leather &amp; Footwear</v>
          </cell>
          <cell r="L44">
            <v>44909</v>
          </cell>
          <cell r="M44">
            <v>45031</v>
          </cell>
          <cell r="N44" t="str">
            <v>NA</v>
          </cell>
        </row>
        <row r="45">
          <cell r="E45" t="str">
            <v>PP00160</v>
          </cell>
          <cell r="F45" t="str">
            <v>Income Based</v>
          </cell>
          <cell r="G45" t="str">
            <v>Nomination</v>
          </cell>
          <cell r="H45">
            <v>9294880</v>
          </cell>
          <cell r="I45" t="str">
            <v>Fully Closed</v>
          </cell>
          <cell r="J45" t="str">
            <v>FCI</v>
          </cell>
          <cell r="K45" t="str">
            <v>Food Security</v>
          </cell>
          <cell r="L45">
            <v>44902</v>
          </cell>
          <cell r="M45">
            <v>45016</v>
          </cell>
        </row>
        <row r="46">
          <cell r="E46" t="str">
            <v>PP00161</v>
          </cell>
          <cell r="F46" t="str">
            <v>Income Based</v>
          </cell>
          <cell r="G46" t="str">
            <v>Nomination</v>
          </cell>
          <cell r="H46">
            <v>3095680</v>
          </cell>
          <cell r="I46" t="str">
            <v>Completed</v>
          </cell>
          <cell r="J46" t="str">
            <v>MoJS (NRCD)</v>
          </cell>
          <cell r="K46" t="str">
            <v>Water &amp; Sanitation</v>
          </cell>
          <cell r="L46">
            <v>45119</v>
          </cell>
          <cell r="M46">
            <v>45485</v>
          </cell>
        </row>
        <row r="47">
          <cell r="E47" t="str">
            <v>PP00162</v>
          </cell>
          <cell r="F47" t="str">
            <v>Income Based</v>
          </cell>
          <cell r="G47" t="str">
            <v>Nomination</v>
          </cell>
          <cell r="H47">
            <v>2714946.78</v>
          </cell>
          <cell r="I47" t="str">
            <v>Fully Closed</v>
          </cell>
          <cell r="J47" t="str">
            <v>U.P. Projects Corporation Ltd.</v>
          </cell>
          <cell r="K47" t="str">
            <v>Infrastructure</v>
          </cell>
          <cell r="L47">
            <v>44986</v>
          </cell>
          <cell r="M47">
            <v>45382</v>
          </cell>
        </row>
        <row r="48">
          <cell r="E48" t="str">
            <v>PP00163</v>
          </cell>
          <cell r="F48" t="str">
            <v>Income Based</v>
          </cell>
          <cell r="G48" t="str">
            <v>Nomination</v>
          </cell>
          <cell r="H48">
            <v>4525498</v>
          </cell>
          <cell r="I48" t="str">
            <v>Fully Closed</v>
          </cell>
          <cell r="J48" t="str">
            <v>Ministry of Housing and Urban Affairs (MoHUA)</v>
          </cell>
          <cell r="K48" t="str">
            <v>Infrastructure &amp; Governance</v>
          </cell>
          <cell r="L48">
            <v>45231</v>
          </cell>
          <cell r="M48">
            <v>45201</v>
          </cell>
          <cell r="N48">
            <v>45205</v>
          </cell>
        </row>
        <row r="49">
          <cell r="E49" t="str">
            <v>PP00164</v>
          </cell>
          <cell r="F49" t="str">
            <v>Income Based</v>
          </cell>
          <cell r="G49" t="str">
            <v>Tender</v>
          </cell>
          <cell r="H49">
            <v>132411267</v>
          </cell>
          <cell r="I49" t="str">
            <v>Fully Closed</v>
          </cell>
          <cell r="J49" t="str">
            <v>SBM III/ PHE Division, MoHUA</v>
          </cell>
          <cell r="K49" t="str">
            <v xml:space="preserve">Sanitation </v>
          </cell>
          <cell r="L49">
            <v>44999</v>
          </cell>
          <cell r="M49">
            <v>45298</v>
          </cell>
        </row>
        <row r="50">
          <cell r="E50" t="str">
            <v>PP00167</v>
          </cell>
          <cell r="F50" t="str">
            <v>Income Based</v>
          </cell>
          <cell r="G50" t="str">
            <v>Nomination</v>
          </cell>
          <cell r="H50">
            <v>1013148</v>
          </cell>
          <cell r="I50" t="str">
            <v>Fully Closed</v>
          </cell>
          <cell r="J50" t="str">
            <v>India Trade Promotion Organisation</v>
          </cell>
          <cell r="K50" t="str">
            <v>Infrastructure</v>
          </cell>
          <cell r="L50">
            <v>45139</v>
          </cell>
          <cell r="M50">
            <v>45061</v>
          </cell>
        </row>
        <row r="51">
          <cell r="E51" t="str">
            <v>PP00168</v>
          </cell>
          <cell r="F51" t="str">
            <v>Income Based</v>
          </cell>
          <cell r="G51" t="str">
            <v>Nomination</v>
          </cell>
          <cell r="H51" t="str">
            <v>Rs. 65,52,000 (Exlcluding Taxes) from 1st April,2025, to 31st March, 2026.</v>
          </cell>
          <cell r="I51" t="str">
            <v>Ongoing</v>
          </cell>
          <cell r="J51" t="str">
            <v>Department of Administrative Reforms and Public Grievances</v>
          </cell>
          <cell r="K51" t="str">
            <v>Governance</v>
          </cell>
          <cell r="L51">
            <v>45109</v>
          </cell>
          <cell r="M51" t="str">
            <v>31-03-2026</v>
          </cell>
          <cell r="N51" t="str">
            <v>-</v>
          </cell>
        </row>
        <row r="52">
          <cell r="E52" t="str">
            <v>PP00170</v>
          </cell>
          <cell r="F52" t="str">
            <v>Income Based</v>
          </cell>
          <cell r="G52" t="str">
            <v>Tender</v>
          </cell>
          <cell r="H52">
            <v>13336271.189999999</v>
          </cell>
          <cell r="I52" t="str">
            <v>Completed</v>
          </cell>
          <cell r="J52" t="str">
            <v>NBCC</v>
          </cell>
          <cell r="K52" t="str">
            <v xml:space="preserve">Infrastructure </v>
          </cell>
          <cell r="L52">
            <v>44998</v>
          </cell>
          <cell r="M52">
            <v>45701</v>
          </cell>
        </row>
        <row r="53">
          <cell r="E53" t="str">
            <v>PP00173</v>
          </cell>
          <cell r="F53" t="str">
            <v>Income Based</v>
          </cell>
          <cell r="G53" t="str">
            <v>Tender</v>
          </cell>
          <cell r="H53">
            <v>3787840</v>
          </cell>
          <cell r="I53" t="str">
            <v>Completed</v>
          </cell>
          <cell r="J53" t="str">
            <v>Bhopal Municipal Corporation</v>
          </cell>
          <cell r="K53" t="str">
            <v>Sanitation</v>
          </cell>
          <cell r="L53">
            <v>44960</v>
          </cell>
          <cell r="M53">
            <v>45746</v>
          </cell>
        </row>
        <row r="54">
          <cell r="E54" t="str">
            <v>PP00175</v>
          </cell>
          <cell r="F54" t="str">
            <v>Income Based</v>
          </cell>
          <cell r="G54" t="str">
            <v>Nomination</v>
          </cell>
          <cell r="H54">
            <v>8584800</v>
          </cell>
          <cell r="I54" t="str">
            <v>Completed</v>
          </cell>
          <cell r="J54" t="str">
            <v>MoHUA</v>
          </cell>
          <cell r="K54" t="str">
            <v>Finance</v>
          </cell>
          <cell r="L54">
            <v>45140</v>
          </cell>
          <cell r="M54">
            <v>45412</v>
          </cell>
          <cell r="N54">
            <v>45473</v>
          </cell>
        </row>
        <row r="55">
          <cell r="E55" t="str">
            <v>PP00176</v>
          </cell>
          <cell r="F55" t="str">
            <v>Income Based</v>
          </cell>
          <cell r="G55" t="str">
            <v>Tender</v>
          </cell>
          <cell r="H55">
            <v>8016816</v>
          </cell>
          <cell r="I55" t="str">
            <v>Ongoing</v>
          </cell>
          <cell r="J55" t="str">
            <v>Kanpur Electricity Supply Company</v>
          </cell>
          <cell r="K55" t="str">
            <v xml:space="preserve">Electrical </v>
          </cell>
          <cell r="L55">
            <v>44999</v>
          </cell>
          <cell r="M55">
            <v>45702</v>
          </cell>
          <cell r="N55" t="str">
            <v>31-09-2025</v>
          </cell>
        </row>
        <row r="56">
          <cell r="E56" t="str">
            <v>PP00177</v>
          </cell>
          <cell r="F56" t="str">
            <v>Income Based</v>
          </cell>
          <cell r="G56" t="str">
            <v>Nomination</v>
          </cell>
          <cell r="H56">
            <v>3497150</v>
          </cell>
          <cell r="I56" t="str">
            <v>Ongoing</v>
          </cell>
          <cell r="J56" t="str">
            <v>Construction &amp; Design Services U.P. Jal Nigam</v>
          </cell>
          <cell r="K56" t="str">
            <v xml:space="preserve">Infrastructure </v>
          </cell>
          <cell r="L56">
            <v>44930</v>
          </cell>
          <cell r="M56">
            <v>45661</v>
          </cell>
          <cell r="N56" t="str">
            <v>-</v>
          </cell>
        </row>
        <row r="57">
          <cell r="E57" t="str">
            <v>PP00178</v>
          </cell>
          <cell r="F57" t="str">
            <v>Income Based</v>
          </cell>
          <cell r="G57" t="str">
            <v>Nomination</v>
          </cell>
          <cell r="H57">
            <v>200000</v>
          </cell>
          <cell r="I57" t="str">
            <v>Fully Closed</v>
          </cell>
          <cell r="J57" t="str">
            <v>Capacity Building Commission</v>
          </cell>
          <cell r="K57" t="str">
            <v>Social Impact</v>
          </cell>
          <cell r="L57">
            <v>45013</v>
          </cell>
          <cell r="M57">
            <v>44933</v>
          </cell>
        </row>
        <row r="58">
          <cell r="E58" t="str">
            <v>PP00179</v>
          </cell>
          <cell r="F58" t="str">
            <v>Income Based</v>
          </cell>
          <cell r="G58" t="str">
            <v>Nomination</v>
          </cell>
          <cell r="H58">
            <v>3141600</v>
          </cell>
          <cell r="I58" t="str">
            <v>Fully Closed</v>
          </cell>
          <cell r="J58" t="str">
            <v>Virgo Communications and Exhibitions Pvt. Ltd.</v>
          </cell>
          <cell r="K58" t="str">
            <v>Infrastructure</v>
          </cell>
          <cell r="L58">
            <v>45050</v>
          </cell>
          <cell r="M58">
            <v>45415</v>
          </cell>
        </row>
        <row r="59">
          <cell r="E59" t="str">
            <v>PP00181</v>
          </cell>
          <cell r="F59" t="str">
            <v>Income Based</v>
          </cell>
          <cell r="H59">
            <v>63941651</v>
          </cell>
          <cell r="I59" t="str">
            <v>Fully Closed</v>
          </cell>
          <cell r="J59" t="str">
            <v>Ministry of MHA</v>
          </cell>
          <cell r="K59" t="str">
            <v>Law Enforcement Agencies (LEAs)</v>
          </cell>
          <cell r="L59">
            <v>45037</v>
          </cell>
          <cell r="M59">
            <v>45254</v>
          </cell>
          <cell r="N59">
            <v>45315</v>
          </cell>
        </row>
        <row r="60">
          <cell r="E60" t="str">
            <v>PP00183</v>
          </cell>
          <cell r="F60" t="str">
            <v>Income Based</v>
          </cell>
          <cell r="G60" t="str">
            <v>Nomination</v>
          </cell>
          <cell r="H60" t="str">
            <v>Rs. 18,90,000 (Excluding Taxes)</v>
          </cell>
          <cell r="I60" t="str">
            <v>Ongoing</v>
          </cell>
          <cell r="J60" t="str">
            <v>General Administration Department, Government of Maharashtra</v>
          </cell>
          <cell r="K60" t="str">
            <v>Governance</v>
          </cell>
          <cell r="L60" t="str">
            <v>27-04-2023</v>
          </cell>
          <cell r="M60" t="str">
            <v>27-06-2023</v>
          </cell>
          <cell r="N60" t="str">
            <v>30-09-2025</v>
          </cell>
        </row>
        <row r="61">
          <cell r="E61" t="str">
            <v>PP00184</v>
          </cell>
          <cell r="F61" t="str">
            <v>Income Based</v>
          </cell>
          <cell r="G61" t="str">
            <v>Tender</v>
          </cell>
          <cell r="H61">
            <v>1475170</v>
          </cell>
          <cell r="I61" t="str">
            <v>Fully Closed</v>
          </cell>
          <cell r="J61" t="str">
            <v>PMRF, IIT Madras</v>
          </cell>
          <cell r="K61" t="str">
            <v>Education</v>
          </cell>
          <cell r="L61">
            <v>45076</v>
          </cell>
          <cell r="M61">
            <v>45196</v>
          </cell>
          <cell r="N61" t="str">
            <v>NA</v>
          </cell>
        </row>
        <row r="62">
          <cell r="E62" t="str">
            <v>PP00185</v>
          </cell>
          <cell r="F62" t="str">
            <v>Income Based</v>
          </cell>
          <cell r="G62" t="str">
            <v>Nomination</v>
          </cell>
          <cell r="H62">
            <v>7013130</v>
          </cell>
          <cell r="I62" t="str">
            <v>Fully Closed</v>
          </cell>
          <cell r="J62" t="str">
            <v>CWC</v>
          </cell>
          <cell r="K62" t="str">
            <v>Food Security</v>
          </cell>
          <cell r="L62">
            <v>45001</v>
          </cell>
          <cell r="M62">
            <v>45189</v>
          </cell>
        </row>
        <row r="63">
          <cell r="E63" t="str">
            <v>PP00186</v>
          </cell>
          <cell r="F63" t="str">
            <v>Income Based</v>
          </cell>
          <cell r="G63" t="str">
            <v>Nomination</v>
          </cell>
          <cell r="H63">
            <v>1641701.13</v>
          </cell>
          <cell r="I63" t="str">
            <v>Ongoing</v>
          </cell>
          <cell r="J63" t="str">
            <v>U.P. Projects Corporation Ltd.</v>
          </cell>
          <cell r="K63" t="str">
            <v xml:space="preserve">Infrastructure </v>
          </cell>
          <cell r="L63">
            <v>45071</v>
          </cell>
          <cell r="M63">
            <v>45565</v>
          </cell>
          <cell r="N63">
            <v>45900</v>
          </cell>
        </row>
        <row r="64">
          <cell r="E64" t="str">
            <v>PP00187</v>
          </cell>
          <cell r="F64" t="str">
            <v>Income Based</v>
          </cell>
          <cell r="G64" t="str">
            <v>Nomination</v>
          </cell>
          <cell r="H64">
            <v>6090327.5300000003</v>
          </cell>
          <cell r="I64" t="str">
            <v>Fully Closed</v>
          </cell>
          <cell r="J64" t="str">
            <v>Bihar Institute of Public Administration and Rural Development, Govt. of Bihar</v>
          </cell>
          <cell r="K64" t="str">
            <v xml:space="preserve">Infrastructure </v>
          </cell>
          <cell r="L64">
            <v>44991</v>
          </cell>
          <cell r="M64">
            <v>45657</v>
          </cell>
        </row>
        <row r="65">
          <cell r="E65" t="str">
            <v>PP00188</v>
          </cell>
          <cell r="F65" t="str">
            <v>Income Based</v>
          </cell>
          <cell r="G65" t="str">
            <v>Nomination</v>
          </cell>
          <cell r="H65">
            <v>7450240</v>
          </cell>
          <cell r="I65" t="str">
            <v>Fully Closed</v>
          </cell>
          <cell r="J65" t="str">
            <v>Samagra Shiksha, Department of Education, AP</v>
          </cell>
          <cell r="K65" t="str">
            <v>Education</v>
          </cell>
          <cell r="L65">
            <v>45120</v>
          </cell>
          <cell r="M65" t="str">
            <v>13-11-2023</v>
          </cell>
        </row>
        <row r="66">
          <cell r="E66" t="str">
            <v>PP00189</v>
          </cell>
          <cell r="F66" t="str">
            <v>Income Based</v>
          </cell>
          <cell r="G66" t="str">
            <v>Nomination</v>
          </cell>
          <cell r="I66" t="str">
            <v>Fully Closed</v>
          </cell>
          <cell r="J66" t="str">
            <v>MHA</v>
          </cell>
        </row>
        <row r="67">
          <cell r="E67" t="str">
            <v>PP00191</v>
          </cell>
          <cell r="F67" t="str">
            <v>Income Based</v>
          </cell>
          <cell r="G67" t="str">
            <v>Nomination</v>
          </cell>
          <cell r="H67">
            <v>11062800</v>
          </cell>
          <cell r="I67" t="str">
            <v>Fully Closed</v>
          </cell>
          <cell r="J67" t="str">
            <v>Samagra Shiksha, Department of Education, AP</v>
          </cell>
          <cell r="K67" t="str">
            <v>Education</v>
          </cell>
          <cell r="L67">
            <v>45135</v>
          </cell>
          <cell r="M67">
            <v>45227</v>
          </cell>
        </row>
        <row r="68">
          <cell r="E68" t="str">
            <v>PP00192</v>
          </cell>
          <cell r="F68" t="str">
            <v>Income Based</v>
          </cell>
          <cell r="G68" t="str">
            <v>Nomination</v>
          </cell>
          <cell r="H68">
            <v>1690879</v>
          </cell>
          <cell r="I68" t="str">
            <v>Fully Closed</v>
          </cell>
          <cell r="J68" t="str">
            <v>DPIIT</v>
          </cell>
          <cell r="K68" t="str">
            <v>IEM</v>
          </cell>
          <cell r="L68">
            <v>45140</v>
          </cell>
          <cell r="M68">
            <v>45299</v>
          </cell>
        </row>
        <row r="69">
          <cell r="E69" t="str">
            <v>PP00193</v>
          </cell>
          <cell r="F69" t="str">
            <v>Income Based</v>
          </cell>
          <cell r="G69" t="str">
            <v>Nomination</v>
          </cell>
          <cell r="H69">
            <v>255333</v>
          </cell>
          <cell r="I69" t="str">
            <v>Completed</v>
          </cell>
          <cell r="J69" t="str">
            <v>NDMC</v>
          </cell>
          <cell r="K69" t="str">
            <v>Education</v>
          </cell>
          <cell r="L69">
            <v>45138</v>
          </cell>
          <cell r="M69">
            <v>45158</v>
          </cell>
        </row>
        <row r="70">
          <cell r="E70" t="str">
            <v>PP00194</v>
          </cell>
          <cell r="F70" t="str">
            <v>Income Based</v>
          </cell>
          <cell r="G70" t="str">
            <v>Nomination</v>
          </cell>
          <cell r="H70">
            <v>63205318</v>
          </cell>
          <cell r="I70" t="str">
            <v>Fully Closed</v>
          </cell>
          <cell r="J70" t="str">
            <v>FSSAI</v>
          </cell>
          <cell r="K70" t="str">
            <v>Food</v>
          </cell>
          <cell r="L70">
            <v>45515</v>
          </cell>
          <cell r="M70">
            <v>45379</v>
          </cell>
        </row>
        <row r="71">
          <cell r="E71" t="str">
            <v>PP00195</v>
          </cell>
          <cell r="F71" t="str">
            <v>Income Based</v>
          </cell>
          <cell r="G71" t="str">
            <v>Nomination</v>
          </cell>
          <cell r="H71">
            <v>605409</v>
          </cell>
          <cell r="I71" t="str">
            <v>Fully Closed</v>
          </cell>
          <cell r="J71" t="str">
            <v>U.P. State Construction And Infrastructure Development Corporation Limited</v>
          </cell>
          <cell r="K71" t="str">
            <v>Infrastructure</v>
          </cell>
          <cell r="L71">
            <v>45160</v>
          </cell>
          <cell r="M71">
            <v>45192</v>
          </cell>
        </row>
        <row r="72">
          <cell r="E72" t="str">
            <v>PP00196</v>
          </cell>
          <cell r="F72" t="str">
            <v>Income Based</v>
          </cell>
          <cell r="G72" t="str">
            <v>Nomination</v>
          </cell>
          <cell r="H72">
            <v>44106366.299999997</v>
          </cell>
          <cell r="I72" t="str">
            <v>Ongoing</v>
          </cell>
          <cell r="J72" t="str">
            <v>U.P. Projects Corporation Ltd.</v>
          </cell>
          <cell r="K72" t="str">
            <v xml:space="preserve">Infrastructure </v>
          </cell>
          <cell r="L72">
            <v>45238</v>
          </cell>
          <cell r="M72">
            <v>46022</v>
          </cell>
          <cell r="N72" t="str">
            <v>-</v>
          </cell>
        </row>
        <row r="73">
          <cell r="E73" t="str">
            <v>PP00197</v>
          </cell>
          <cell r="F73" t="str">
            <v>Income Based</v>
          </cell>
          <cell r="G73" t="str">
            <v>Nomination</v>
          </cell>
          <cell r="H73">
            <v>7500000</v>
          </cell>
          <cell r="I73" t="str">
            <v>Completed</v>
          </cell>
          <cell r="J73" t="str">
            <v xml:space="preserve">Lanco Amarkantak </v>
          </cell>
          <cell r="K73" t="str">
            <v>Coal</v>
          </cell>
          <cell r="L73">
            <v>45146</v>
          </cell>
          <cell r="M73">
            <v>45626</v>
          </cell>
        </row>
        <row r="74">
          <cell r="E74" t="str">
            <v>PP00198</v>
          </cell>
          <cell r="F74" t="str">
            <v>Income Based</v>
          </cell>
          <cell r="G74" t="str">
            <v>Tender</v>
          </cell>
          <cell r="H74">
            <v>2627117.7999999998</v>
          </cell>
          <cell r="I74" t="str">
            <v>Ongoing</v>
          </cell>
          <cell r="J74" t="str">
            <v>Govt. of Himachal Pradesh</v>
          </cell>
          <cell r="K74" t="str">
            <v xml:space="preserve">Infrastructure </v>
          </cell>
          <cell r="L74">
            <v>45269</v>
          </cell>
          <cell r="M74">
            <v>46002</v>
          </cell>
          <cell r="N74">
            <v>46203</v>
          </cell>
        </row>
        <row r="75">
          <cell r="E75" t="str">
            <v>PP00199</v>
          </cell>
          <cell r="F75" t="str">
            <v>Income Based</v>
          </cell>
          <cell r="G75" t="str">
            <v>Nomination</v>
          </cell>
          <cell r="H75">
            <v>10980480</v>
          </cell>
          <cell r="I75" t="str">
            <v>Completed</v>
          </cell>
          <cell r="J75" t="str">
            <v>Ministry of Consumer Affairs, Food and Public Distribution</v>
          </cell>
          <cell r="K75" t="str">
            <v>Surveillance</v>
          </cell>
          <cell r="L75">
            <v>45145</v>
          </cell>
          <cell r="M75">
            <v>45388</v>
          </cell>
          <cell r="N75" t="str">
            <v>Work order extension awaited</v>
          </cell>
        </row>
        <row r="76">
          <cell r="E76" t="str">
            <v>PP00200</v>
          </cell>
          <cell r="F76" t="str">
            <v>Income Based</v>
          </cell>
          <cell r="G76" t="str">
            <v>Tender</v>
          </cell>
          <cell r="H76">
            <v>7109047.3700000001</v>
          </cell>
          <cell r="I76" t="str">
            <v>Completed</v>
          </cell>
          <cell r="J76" t="str">
            <v>NBCC</v>
          </cell>
          <cell r="K76" t="str">
            <v xml:space="preserve">Infrastructure </v>
          </cell>
          <cell r="L76">
            <v>45226</v>
          </cell>
          <cell r="M76">
            <v>45716</v>
          </cell>
        </row>
        <row r="77">
          <cell r="E77" t="str">
            <v>PP00201</v>
          </cell>
          <cell r="F77" t="str">
            <v>Income Based</v>
          </cell>
          <cell r="G77" t="str">
            <v>Nomination</v>
          </cell>
          <cell r="H77">
            <v>485595</v>
          </cell>
          <cell r="I77" t="str">
            <v>Fully Closed</v>
          </cell>
          <cell r="J77" t="str">
            <v>U.P. State Construction And Infrastructure Development Corporation Limited</v>
          </cell>
          <cell r="K77" t="str">
            <v>Infrastructure</v>
          </cell>
          <cell r="L77">
            <v>44995</v>
          </cell>
          <cell r="M77">
            <v>45230</v>
          </cell>
        </row>
        <row r="78">
          <cell r="E78" t="str">
            <v>PP00202</v>
          </cell>
          <cell r="F78" t="str">
            <v>Income Based</v>
          </cell>
          <cell r="G78" t="str">
            <v>Nomination</v>
          </cell>
          <cell r="H78">
            <v>1400000</v>
          </cell>
          <cell r="I78" t="str">
            <v>Fully Closed</v>
          </cell>
          <cell r="J78" t="str">
            <v>Project Implementation Unit (PIU), PWD Thuligad Tanakpur</v>
          </cell>
          <cell r="K78" t="str">
            <v>Infrastructure</v>
          </cell>
          <cell r="L78">
            <v>45182</v>
          </cell>
          <cell r="M78">
            <v>45567</v>
          </cell>
        </row>
        <row r="79">
          <cell r="E79" t="str">
            <v>PP00203</v>
          </cell>
          <cell r="F79" t="str">
            <v>Income Based</v>
          </cell>
          <cell r="G79" t="str">
            <v>Tender</v>
          </cell>
          <cell r="H79">
            <v>18166400</v>
          </cell>
          <cell r="I79" t="str">
            <v>Ongoing</v>
          </cell>
          <cell r="J79" t="str">
            <v>Uttar pradesh</v>
          </cell>
          <cell r="K79" t="str">
            <v>Infrastructure</v>
          </cell>
          <cell r="L79">
            <v>45187</v>
          </cell>
          <cell r="M79">
            <v>45918</v>
          </cell>
        </row>
        <row r="80">
          <cell r="E80" t="str">
            <v>PP00204</v>
          </cell>
          <cell r="F80" t="str">
            <v>Income Based</v>
          </cell>
          <cell r="G80" t="str">
            <v>Nomination</v>
          </cell>
          <cell r="H80">
            <v>28000000</v>
          </cell>
          <cell r="I80" t="str">
            <v>Fully Closed</v>
          </cell>
          <cell r="J80" t="str">
            <v>RRVUNL</v>
          </cell>
          <cell r="K80" t="str">
            <v>Coal</v>
          </cell>
          <cell r="L80">
            <v>45241</v>
          </cell>
          <cell r="M80">
            <v>45568</v>
          </cell>
        </row>
        <row r="81">
          <cell r="E81" t="str">
            <v>PP00205</v>
          </cell>
          <cell r="F81" t="str">
            <v>Income Based</v>
          </cell>
          <cell r="G81" t="str">
            <v>Nomination</v>
          </cell>
          <cell r="H81">
            <v>1500000</v>
          </cell>
          <cell r="I81" t="str">
            <v>Fully Closed</v>
          </cell>
          <cell r="J81" t="str">
            <v>PHED, Govt. of Haryana</v>
          </cell>
          <cell r="K81" t="str">
            <v>Water</v>
          </cell>
          <cell r="L81">
            <v>44968</v>
          </cell>
          <cell r="M81">
            <v>45443</v>
          </cell>
        </row>
        <row r="82">
          <cell r="E82" t="str">
            <v>PP00206</v>
          </cell>
          <cell r="F82" t="str">
            <v>Income Based</v>
          </cell>
          <cell r="G82" t="str">
            <v>Nomination</v>
          </cell>
          <cell r="H82" t="str">
            <v>₹ 58,93,449
₹18,34,924</v>
          </cell>
          <cell r="I82" t="str">
            <v>Completed</v>
          </cell>
          <cell r="J82" t="str">
            <v>National Horticulture Board, Ministry of Agriculture &amp; Farmers Welfare, GoI</v>
          </cell>
          <cell r="K82" t="str">
            <v>Horticulture</v>
          </cell>
          <cell r="L82">
            <v>45245</v>
          </cell>
          <cell r="M82">
            <v>45504</v>
          </cell>
          <cell r="N82">
            <v>45747</v>
          </cell>
        </row>
        <row r="83">
          <cell r="E83" t="str">
            <v>PP00207</v>
          </cell>
          <cell r="F83" t="str">
            <v>Income Based</v>
          </cell>
          <cell r="G83" t="str">
            <v>Tender</v>
          </cell>
          <cell r="H83">
            <v>3722213.67</v>
          </cell>
          <cell r="I83" t="str">
            <v>Ongoing</v>
          </cell>
          <cell r="J83" t="str">
            <v>Administration of Lakshadweep</v>
          </cell>
          <cell r="K83" t="str">
            <v>Infrastructure, Water Supply</v>
          </cell>
          <cell r="L83">
            <v>45275</v>
          </cell>
          <cell r="M83">
            <v>46006</v>
          </cell>
        </row>
        <row r="84">
          <cell r="E84" t="str">
            <v>PP00208</v>
          </cell>
          <cell r="F84" t="str">
            <v>Income Based</v>
          </cell>
          <cell r="G84" t="str">
            <v>Nomination</v>
          </cell>
          <cell r="H84">
            <v>9718800</v>
          </cell>
          <cell r="I84" t="str">
            <v>Fully Closed</v>
          </cell>
          <cell r="J84" t="str">
            <v>MoRTH</v>
          </cell>
          <cell r="K84" t="str">
            <v xml:space="preserve">Infrastructure </v>
          </cell>
          <cell r="L84">
            <v>45246</v>
          </cell>
          <cell r="M84">
            <v>45535</v>
          </cell>
          <cell r="N84">
            <v>45443</v>
          </cell>
        </row>
        <row r="85">
          <cell r="E85" t="str">
            <v>PP00209</v>
          </cell>
          <cell r="F85" t="str">
            <v>Income Based</v>
          </cell>
          <cell r="G85" t="str">
            <v>Nomination</v>
          </cell>
          <cell r="H85">
            <v>3114608</v>
          </cell>
          <cell r="I85" t="str">
            <v>Fully Closed</v>
          </cell>
          <cell r="J85" t="str">
            <v>Construction &amp; Design Services U.P. Jal Nigam</v>
          </cell>
          <cell r="K85" t="str">
            <v xml:space="preserve">Infrastructure </v>
          </cell>
          <cell r="L85">
            <v>45248</v>
          </cell>
          <cell r="M85">
            <v>45808</v>
          </cell>
        </row>
        <row r="86">
          <cell r="E86" t="str">
            <v>PP00210</v>
          </cell>
          <cell r="F86" t="str">
            <v>Income Based</v>
          </cell>
          <cell r="G86" t="str">
            <v>Nomination</v>
          </cell>
          <cell r="H86">
            <v>57456000</v>
          </cell>
          <cell r="I86" t="str">
            <v>Ongoing</v>
          </cell>
          <cell r="J86" t="str">
            <v>Ministry of Housing and Urban Affairs (MoHUA)</v>
          </cell>
          <cell r="K86" t="str">
            <v>Digital Infrastructure &amp; Governance</v>
          </cell>
          <cell r="L86">
            <v>45250</v>
          </cell>
          <cell r="M86">
            <v>45473</v>
          </cell>
          <cell r="N86">
            <v>45747</v>
          </cell>
        </row>
        <row r="87">
          <cell r="E87" t="str">
            <v>PP00211</v>
          </cell>
          <cell r="F87" t="str">
            <v>Income Based</v>
          </cell>
          <cell r="G87" t="str">
            <v>Nomination</v>
          </cell>
          <cell r="H87">
            <v>3677260</v>
          </cell>
          <cell r="I87" t="str">
            <v>Completed</v>
          </cell>
          <cell r="J87" t="str">
            <v>Department of Education-AP</v>
          </cell>
          <cell r="K87" t="str">
            <v>Education</v>
          </cell>
          <cell r="L87">
            <v>45260</v>
          </cell>
          <cell r="M87">
            <v>45292</v>
          </cell>
        </row>
        <row r="88">
          <cell r="E88" t="str">
            <v>PP00212</v>
          </cell>
          <cell r="F88" t="str">
            <v>Income Based</v>
          </cell>
          <cell r="G88" t="str">
            <v>Nomination</v>
          </cell>
          <cell r="H88">
            <v>5824000</v>
          </cell>
          <cell r="I88" t="str">
            <v>Completed</v>
          </cell>
          <cell r="J88" t="str">
            <v>Bureau of Indian Standards</v>
          </cell>
          <cell r="K88" t="str">
            <v>Surveillance</v>
          </cell>
          <cell r="L88">
            <v>45293</v>
          </cell>
          <cell r="M88">
            <v>45298</v>
          </cell>
          <cell r="N88">
            <v>45807</v>
          </cell>
        </row>
        <row r="89">
          <cell r="E89" t="str">
            <v>PP00213</v>
          </cell>
          <cell r="F89" t="str">
            <v>Income Based</v>
          </cell>
          <cell r="G89" t="str">
            <v>Tender</v>
          </cell>
          <cell r="H89">
            <v>7431200</v>
          </cell>
          <cell r="I89" t="str">
            <v>Fully Closed</v>
          </cell>
          <cell r="J89" t="str">
            <v>Ministry of Fisheries, Animal Husbandry and Dairying, GoI</v>
          </cell>
          <cell r="K89" t="str">
            <v>Animal Husbandry &amp; Dairying</v>
          </cell>
          <cell r="L89">
            <v>45323</v>
          </cell>
          <cell r="M89">
            <v>45382</v>
          </cell>
          <cell r="N89" t="str">
            <v>NA</v>
          </cell>
        </row>
        <row r="90">
          <cell r="E90" t="str">
            <v>PP00214</v>
          </cell>
          <cell r="F90" t="str">
            <v>Income Based</v>
          </cell>
          <cell r="G90" t="str">
            <v>Nomination</v>
          </cell>
          <cell r="H90">
            <v>17119200</v>
          </cell>
          <cell r="I90" t="str">
            <v>Completed</v>
          </cell>
          <cell r="J90" t="str">
            <v>Central Bureau of Communication - Ministry of Information &amp; Broadcasting</v>
          </cell>
          <cell r="K90" t="str">
            <v>Centrally sponsered social sector schemes</v>
          </cell>
          <cell r="L90">
            <v>45284</v>
          </cell>
          <cell r="M90">
            <v>45347</v>
          </cell>
          <cell r="N90">
            <v>45626</v>
          </cell>
        </row>
        <row r="91">
          <cell r="E91" t="str">
            <v>PP00215</v>
          </cell>
          <cell r="F91" t="str">
            <v>Income Based</v>
          </cell>
          <cell r="G91" t="str">
            <v>Nomination</v>
          </cell>
          <cell r="H91">
            <v>2608125</v>
          </cell>
          <cell r="I91" t="str">
            <v>Fully Closed</v>
          </cell>
          <cell r="J91" t="str">
            <v>Ministry of Agriculture &amp; Farmers Welfare</v>
          </cell>
          <cell r="K91" t="str">
            <v>Centrally sponsered social sector schemes</v>
          </cell>
          <cell r="L91">
            <v>45275</v>
          </cell>
          <cell r="M91">
            <v>45391</v>
          </cell>
        </row>
        <row r="92">
          <cell r="E92" t="str">
            <v>PP00216</v>
          </cell>
          <cell r="F92" t="str">
            <v>Income Based</v>
          </cell>
          <cell r="G92" t="str">
            <v>Nomination</v>
          </cell>
          <cell r="H92" t="str">
            <v>₹ 10,48,63,240</v>
          </cell>
          <cell r="I92" t="str">
            <v>Fully Closed</v>
          </cell>
          <cell r="J92" t="str">
            <v>-</v>
          </cell>
          <cell r="K92" t="str">
            <v>Governance</v>
          </cell>
          <cell r="L92" t="str">
            <v>18-12-2023</v>
          </cell>
          <cell r="M92">
            <v>45387</v>
          </cell>
          <cell r="N92" t="str">
            <v>-</v>
          </cell>
        </row>
        <row r="93">
          <cell r="E93" t="str">
            <v>PP00217</v>
          </cell>
          <cell r="F93" t="str">
            <v>Income Based</v>
          </cell>
          <cell r="G93" t="str">
            <v>Nomination</v>
          </cell>
          <cell r="H93">
            <v>11032000</v>
          </cell>
          <cell r="I93" t="str">
            <v>Fully Closed</v>
          </cell>
          <cell r="J93" t="str">
            <v>Ministry of Consumer Affairs, Food and public distribution</v>
          </cell>
          <cell r="K93" t="str">
            <v>Food Security, Supply Chain</v>
          </cell>
          <cell r="L93">
            <v>45351</v>
          </cell>
          <cell r="M93">
            <v>45443</v>
          </cell>
          <cell r="N93">
            <v>45550</v>
          </cell>
        </row>
        <row r="94">
          <cell r="E94" t="str">
            <v>PP00218</v>
          </cell>
          <cell r="F94" t="str">
            <v>Income Based</v>
          </cell>
          <cell r="G94" t="str">
            <v>Nomination</v>
          </cell>
          <cell r="H94">
            <v>8326080</v>
          </cell>
          <cell r="I94" t="str">
            <v>Fully Closed</v>
          </cell>
          <cell r="J94" t="str">
            <v>GSRTC</v>
          </cell>
          <cell r="K94" t="str">
            <v>Cleanliness and Sanitaion</v>
          </cell>
          <cell r="L94">
            <v>45353</v>
          </cell>
          <cell r="M94">
            <v>45565</v>
          </cell>
        </row>
        <row r="95">
          <cell r="E95" t="str">
            <v>PP00219</v>
          </cell>
          <cell r="F95" t="str">
            <v>Income Based</v>
          </cell>
          <cell r="G95" t="str">
            <v>Nomination</v>
          </cell>
          <cell r="H95">
            <v>2079000</v>
          </cell>
          <cell r="I95" t="str">
            <v>Ongoing</v>
          </cell>
          <cell r="J95" t="str">
            <v>TANGEDCO</v>
          </cell>
          <cell r="K95" t="str">
            <v>Coal</v>
          </cell>
          <cell r="L95">
            <v>45357</v>
          </cell>
          <cell r="M95">
            <v>45747</v>
          </cell>
          <cell r="N95">
            <v>46112</v>
          </cell>
        </row>
        <row r="96">
          <cell r="E96" t="str">
            <v>PP00220</v>
          </cell>
          <cell r="F96" t="str">
            <v>Income Based</v>
          </cell>
          <cell r="G96" t="str">
            <v>Nomination</v>
          </cell>
          <cell r="H96">
            <v>17800000</v>
          </cell>
          <cell r="I96" t="str">
            <v>Ongoing</v>
          </cell>
          <cell r="J96" t="str">
            <v>NTPC</v>
          </cell>
          <cell r="K96" t="str">
            <v>Coal</v>
          </cell>
          <cell r="L96">
            <v>45412</v>
          </cell>
          <cell r="M96">
            <v>46532</v>
          </cell>
        </row>
        <row r="97">
          <cell r="E97" t="str">
            <v>PP00221</v>
          </cell>
          <cell r="F97" t="str">
            <v>Income Based</v>
          </cell>
          <cell r="G97" t="str">
            <v>Tender</v>
          </cell>
          <cell r="H97">
            <v>10513800</v>
          </cell>
          <cell r="I97" t="str">
            <v>Ongoing</v>
          </cell>
          <cell r="J97" t="str">
            <v>NUPPL</v>
          </cell>
          <cell r="K97" t="str">
            <v>Coal</v>
          </cell>
          <cell r="L97">
            <v>45629</v>
          </cell>
          <cell r="M97">
            <v>46329</v>
          </cell>
        </row>
        <row r="98">
          <cell r="E98" t="str">
            <v>PP00222</v>
          </cell>
          <cell r="F98" t="str">
            <v>Income Based</v>
          </cell>
          <cell r="G98" t="str">
            <v>Nomination</v>
          </cell>
          <cell r="H98">
            <v>21632893</v>
          </cell>
          <cell r="I98" t="str">
            <v>Completed</v>
          </cell>
          <cell r="J98" t="str">
            <v>Department of Education-AP</v>
          </cell>
          <cell r="K98" t="str">
            <v>Education</v>
          </cell>
          <cell r="L98">
            <v>45373</v>
          </cell>
          <cell r="M98">
            <v>45495</v>
          </cell>
        </row>
        <row r="99">
          <cell r="E99" t="str">
            <v>PP00223</v>
          </cell>
          <cell r="F99" t="str">
            <v>Income Based</v>
          </cell>
          <cell r="G99" t="str">
            <v>Nomination</v>
          </cell>
          <cell r="H99">
            <v>7766916</v>
          </cell>
          <cell r="I99" t="str">
            <v>Fully Closed</v>
          </cell>
          <cell r="J99" t="str">
            <v>MoHUA</v>
          </cell>
          <cell r="K99" t="str">
            <v>Urban Governance and Housing</v>
          </cell>
          <cell r="L99">
            <v>45367</v>
          </cell>
          <cell r="M99">
            <v>45412</v>
          </cell>
          <cell r="N99">
            <v>45449</v>
          </cell>
        </row>
        <row r="100">
          <cell r="E100" t="str">
            <v>PP00224</v>
          </cell>
          <cell r="F100" t="str">
            <v>Income Based</v>
          </cell>
          <cell r="G100" t="str">
            <v>Tender</v>
          </cell>
          <cell r="H100">
            <v>19500000</v>
          </cell>
          <cell r="I100" t="str">
            <v>Ongoing</v>
          </cell>
          <cell r="J100" t="str">
            <v>MVVNL</v>
          </cell>
          <cell r="K100" t="str">
            <v>Infrastructure</v>
          </cell>
          <cell r="L100">
            <v>45404</v>
          </cell>
          <cell r="M100">
            <v>46134</v>
          </cell>
        </row>
        <row r="101">
          <cell r="E101" t="str">
            <v>PP00225</v>
          </cell>
          <cell r="F101" t="str">
            <v>Income Based</v>
          </cell>
          <cell r="G101" t="str">
            <v>Nomination</v>
          </cell>
          <cell r="H101">
            <v>24062400</v>
          </cell>
          <cell r="I101" t="str">
            <v>Ongoing</v>
          </cell>
          <cell r="J101" t="str">
            <v>GSECL</v>
          </cell>
          <cell r="K101" t="str">
            <v>Coal</v>
          </cell>
          <cell r="L101">
            <v>45428</v>
          </cell>
          <cell r="M101">
            <v>45611</v>
          </cell>
          <cell r="N101">
            <v>45902</v>
          </cell>
        </row>
        <row r="102">
          <cell r="E102" t="str">
            <v>PP00226</v>
          </cell>
          <cell r="F102" t="str">
            <v>Income Based</v>
          </cell>
          <cell r="G102" t="str">
            <v>Tender</v>
          </cell>
          <cell r="H102">
            <v>41500000</v>
          </cell>
          <cell r="I102" t="str">
            <v>Completed</v>
          </cell>
          <cell r="J102" t="str">
            <v>Urban Development and Urban Housind Department.</v>
          </cell>
          <cell r="K102" t="str">
            <v>Sanitation &amp; Hygine</v>
          </cell>
          <cell r="L102">
            <v>45388</v>
          </cell>
          <cell r="M102">
            <v>45753</v>
          </cell>
        </row>
        <row r="103">
          <cell r="E103" t="str">
            <v>PP00227</v>
          </cell>
          <cell r="F103" t="str">
            <v>Income Based</v>
          </cell>
          <cell r="G103" t="str">
            <v>Nomination</v>
          </cell>
          <cell r="H103">
            <v>6816300</v>
          </cell>
          <cell r="I103" t="str">
            <v>Ongoing</v>
          </cell>
          <cell r="J103" t="str">
            <v>FCI</v>
          </cell>
          <cell r="K103" t="str">
            <v xml:space="preserve">Food Security, Technology </v>
          </cell>
          <cell r="L103">
            <v>45373</v>
          </cell>
          <cell r="M103">
            <v>45657</v>
          </cell>
          <cell r="N103">
            <v>45961</v>
          </cell>
        </row>
        <row r="104">
          <cell r="E104" t="str">
            <v>PP00228</v>
          </cell>
          <cell r="F104" t="str">
            <v>Income Based</v>
          </cell>
          <cell r="G104" t="str">
            <v>Nomination</v>
          </cell>
          <cell r="H104">
            <v>200000</v>
          </cell>
          <cell r="I104" t="str">
            <v>Fully Closed</v>
          </cell>
          <cell r="J104" t="str">
            <v>Varanasi Development Authority</v>
          </cell>
          <cell r="K104" t="str">
            <v>Infrastructure</v>
          </cell>
          <cell r="L104">
            <v>45296</v>
          </cell>
          <cell r="M104">
            <v>45808</v>
          </cell>
        </row>
        <row r="105">
          <cell r="E105" t="str">
            <v>PP00229</v>
          </cell>
          <cell r="F105" t="str">
            <v>Income Based</v>
          </cell>
          <cell r="G105" t="str">
            <v>Nomination</v>
          </cell>
          <cell r="H105">
            <v>37422000</v>
          </cell>
          <cell r="I105" t="str">
            <v>Ongoing</v>
          </cell>
          <cell r="J105" t="str">
            <v>SCCL</v>
          </cell>
          <cell r="K105" t="str">
            <v>Coal</v>
          </cell>
          <cell r="L105">
            <v>45479</v>
          </cell>
          <cell r="M105">
            <v>46532</v>
          </cell>
        </row>
        <row r="106">
          <cell r="E106" t="str">
            <v>PP00230</v>
          </cell>
          <cell r="F106" t="str">
            <v>Income Based</v>
          </cell>
          <cell r="G106" t="str">
            <v>Nomination</v>
          </cell>
          <cell r="H106">
            <v>1780000</v>
          </cell>
          <cell r="I106" t="str">
            <v>Ongoing</v>
          </cell>
          <cell r="J106" t="str">
            <v>SAIL CHASNALLA</v>
          </cell>
          <cell r="K106" t="str">
            <v>Coal</v>
          </cell>
          <cell r="L106">
            <v>45295</v>
          </cell>
          <cell r="M106">
            <v>45747</v>
          </cell>
          <cell r="N106">
            <v>46112</v>
          </cell>
        </row>
        <row r="107">
          <cell r="E107" t="str">
            <v>PP00231</v>
          </cell>
          <cell r="F107" t="str">
            <v>Income Based</v>
          </cell>
          <cell r="G107" t="str">
            <v>Nomination</v>
          </cell>
          <cell r="H107">
            <v>81587584</v>
          </cell>
          <cell r="I107" t="str">
            <v>Completed</v>
          </cell>
          <cell r="J107" t="str">
            <v>Ministry of Culture</v>
          </cell>
          <cell r="K107" t="str">
            <v>Arts, Culture &amp; Heritage</v>
          </cell>
          <cell r="L107">
            <v>45398</v>
          </cell>
          <cell r="M107">
            <v>45777</v>
          </cell>
        </row>
        <row r="108">
          <cell r="E108" t="str">
            <v>PP00232</v>
          </cell>
          <cell r="F108" t="str">
            <v>Income Based</v>
          </cell>
          <cell r="G108" t="str">
            <v>Nomination</v>
          </cell>
          <cell r="H108">
            <v>22713600</v>
          </cell>
          <cell r="I108" t="str">
            <v>Completed</v>
          </cell>
          <cell r="J108" t="str">
            <v>Ministry of Culture</v>
          </cell>
          <cell r="K108" t="str">
            <v>Arts, Culture &amp; Heritage</v>
          </cell>
          <cell r="L108">
            <v>45383</v>
          </cell>
          <cell r="M108">
            <v>45747</v>
          </cell>
        </row>
        <row r="109">
          <cell r="E109" t="str">
            <v>PP00233</v>
          </cell>
          <cell r="F109" t="str">
            <v>Income Based</v>
          </cell>
          <cell r="G109" t="str">
            <v>Nomination</v>
          </cell>
          <cell r="H109">
            <v>21134400</v>
          </cell>
          <cell r="I109" t="str">
            <v>Fully Closed</v>
          </cell>
          <cell r="J109" t="str">
            <v>Ministry of Culture</v>
          </cell>
          <cell r="K109" t="str">
            <v>Arts, Culture &amp; Heritage</v>
          </cell>
          <cell r="L109">
            <v>45434</v>
          </cell>
          <cell r="M109">
            <v>45517</v>
          </cell>
        </row>
        <row r="110">
          <cell r="E110" t="str">
            <v>PP00234</v>
          </cell>
          <cell r="F110" t="str">
            <v>Income Based</v>
          </cell>
          <cell r="G110" t="str">
            <v>Nomination</v>
          </cell>
          <cell r="H110">
            <v>343616</v>
          </cell>
          <cell r="I110" t="str">
            <v>Completed</v>
          </cell>
          <cell r="J110" t="str">
            <v>Ministry of Agriculture &amp; Farmers Welfare (MoAFW)</v>
          </cell>
          <cell r="K110" t="str">
            <v>Pesticides/Insecticides &amp; Laboratory Evaluation</v>
          </cell>
          <cell r="L110">
            <v>45491</v>
          </cell>
          <cell r="M110">
            <v>45535</v>
          </cell>
          <cell r="N110">
            <v>45747</v>
          </cell>
        </row>
        <row r="111">
          <cell r="E111" t="str">
            <v>PP00235</v>
          </cell>
          <cell r="F111" t="str">
            <v>Income Based</v>
          </cell>
          <cell r="G111" t="str">
            <v>Nomination</v>
          </cell>
          <cell r="H111">
            <v>277176</v>
          </cell>
          <cell r="I111" t="str">
            <v>Fully Closed</v>
          </cell>
          <cell r="J111" t="str">
            <v xml:space="preserve">Nagar Nigam, Moradabad </v>
          </cell>
          <cell r="K111" t="str">
            <v>Mechanical</v>
          </cell>
          <cell r="L111">
            <v>45471</v>
          </cell>
          <cell r="M111">
            <v>45657</v>
          </cell>
        </row>
        <row r="112">
          <cell r="E112" t="str">
            <v>PP00236</v>
          </cell>
          <cell r="F112" t="str">
            <v>Income Based</v>
          </cell>
          <cell r="G112" t="str">
            <v>Tender</v>
          </cell>
          <cell r="H112">
            <v>2766400</v>
          </cell>
          <cell r="I112" t="str">
            <v>Ongoing</v>
          </cell>
          <cell r="J112" t="str">
            <v>Ministry of Food Processing &amp; Industries (MoFPI), GoI</v>
          </cell>
          <cell r="K112" t="str">
            <v>Food Processing</v>
          </cell>
          <cell r="L112">
            <v>45389</v>
          </cell>
          <cell r="M112">
            <v>45695</v>
          </cell>
          <cell r="N112">
            <v>45869</v>
          </cell>
        </row>
        <row r="113">
          <cell r="E113" t="str">
            <v>PP00237</v>
          </cell>
          <cell r="F113" t="str">
            <v>Income Based</v>
          </cell>
          <cell r="G113" t="str">
            <v>Nomination</v>
          </cell>
          <cell r="H113">
            <v>44500000</v>
          </cell>
          <cell r="I113" t="str">
            <v>Ongoing</v>
          </cell>
          <cell r="K113" t="str">
            <v>Coal</v>
          </cell>
          <cell r="L113">
            <v>45488</v>
          </cell>
          <cell r="M113">
            <v>46531</v>
          </cell>
        </row>
        <row r="114">
          <cell r="E114" t="str">
            <v>PP00238</v>
          </cell>
          <cell r="F114" t="str">
            <v>Income Based</v>
          </cell>
          <cell r="G114" t="str">
            <v>Nomination</v>
          </cell>
          <cell r="H114">
            <v>73500000</v>
          </cell>
          <cell r="I114" t="str">
            <v>Ongoing</v>
          </cell>
          <cell r="J114" t="str">
            <v>NTPC Limited</v>
          </cell>
          <cell r="K114" t="str">
            <v>Coal</v>
          </cell>
          <cell r="L114">
            <v>45493</v>
          </cell>
          <cell r="M114">
            <v>46532</v>
          </cell>
        </row>
        <row r="115">
          <cell r="E115" t="str">
            <v>PP00239</v>
          </cell>
          <cell r="F115" t="str">
            <v>Income Based</v>
          </cell>
          <cell r="G115" t="str">
            <v>Nomination</v>
          </cell>
          <cell r="H115">
            <v>1702400</v>
          </cell>
          <cell r="I115" t="str">
            <v>Completed</v>
          </cell>
          <cell r="J115" t="str">
            <v>Government of Maharashtra</v>
          </cell>
          <cell r="K115" t="str">
            <v>Rural Development</v>
          </cell>
          <cell r="L115">
            <v>45497</v>
          </cell>
          <cell r="M115">
            <v>45559</v>
          </cell>
          <cell r="N115">
            <v>45688</v>
          </cell>
        </row>
        <row r="116">
          <cell r="E116" t="str">
            <v>PP00240</v>
          </cell>
          <cell r="F116" t="str">
            <v>Income Based</v>
          </cell>
          <cell r="G116" t="str">
            <v>Tender</v>
          </cell>
          <cell r="H116">
            <v>24576271.18</v>
          </cell>
          <cell r="I116" t="str">
            <v>Ongoing</v>
          </cell>
          <cell r="J116" t="str">
            <v>Commissionerate of Rural Development</v>
          </cell>
          <cell r="K116" t="str">
            <v xml:space="preserve">Sanitation </v>
          </cell>
          <cell r="L116">
            <v>45513</v>
          </cell>
          <cell r="M116">
            <v>45878</v>
          </cell>
          <cell r="N116">
            <v>45930</v>
          </cell>
        </row>
        <row r="117">
          <cell r="E117" t="str">
            <v>PP00241</v>
          </cell>
          <cell r="F117" t="str">
            <v>Income Based</v>
          </cell>
          <cell r="G117" t="str">
            <v>Nomination</v>
          </cell>
          <cell r="H117">
            <v>104863240</v>
          </cell>
          <cell r="I117" t="str">
            <v>Ongoing</v>
          </cell>
          <cell r="J117" t="str">
            <v>AMRUT/ MoHUA</v>
          </cell>
          <cell r="K117" t="str">
            <v xml:space="preserve">Sanitation </v>
          </cell>
          <cell r="L117">
            <v>45533</v>
          </cell>
          <cell r="M117">
            <v>45747</v>
          </cell>
        </row>
        <row r="118">
          <cell r="E118" t="str">
            <v>PP00242</v>
          </cell>
          <cell r="F118" t="str">
            <v>Income Based</v>
          </cell>
          <cell r="G118" t="str">
            <v>Nomination</v>
          </cell>
          <cell r="H118">
            <v>18828465</v>
          </cell>
          <cell r="I118" t="str">
            <v>Fully Closed</v>
          </cell>
          <cell r="J118" t="str">
            <v>MHA</v>
          </cell>
          <cell r="L118">
            <v>45551</v>
          </cell>
          <cell r="M118">
            <v>45688</v>
          </cell>
        </row>
        <row r="119">
          <cell r="E119" t="str">
            <v>PP00243</v>
          </cell>
          <cell r="F119" t="str">
            <v>Income Based</v>
          </cell>
          <cell r="G119" t="str">
            <v>Nomination</v>
          </cell>
          <cell r="H119">
            <v>7334179.2854159977</v>
          </cell>
          <cell r="I119" t="str">
            <v>Ongoing</v>
          </cell>
          <cell r="J119" t="str">
            <v xml:space="preserve">Uttar Pradesh State Tourism Development Corporation Ltd. </v>
          </cell>
          <cell r="K119" t="str">
            <v>Infrastructure</v>
          </cell>
          <cell r="L119">
            <v>45520</v>
          </cell>
          <cell r="M119">
            <v>46275</v>
          </cell>
          <cell r="N119" t="str">
            <v>-</v>
          </cell>
        </row>
        <row r="120">
          <cell r="E120" t="str">
            <v>PP00244</v>
          </cell>
          <cell r="F120" t="str">
            <v>Income Based</v>
          </cell>
          <cell r="G120" t="str">
            <v>Nomination</v>
          </cell>
          <cell r="H120">
            <v>5959781</v>
          </cell>
          <cell r="I120" t="str">
            <v>Completed</v>
          </cell>
          <cell r="J120" t="str">
            <v>DC Handlooms, Ministry of Textiles</v>
          </cell>
          <cell r="K120" t="str">
            <v>Handlooms</v>
          </cell>
          <cell r="L120">
            <v>45541</v>
          </cell>
          <cell r="M120">
            <v>45630</v>
          </cell>
          <cell r="N120">
            <v>45659</v>
          </cell>
        </row>
        <row r="121">
          <cell r="E121" t="str">
            <v>PP00245</v>
          </cell>
          <cell r="F121" t="str">
            <v>Income Based</v>
          </cell>
          <cell r="G121" t="str">
            <v>Nomination</v>
          </cell>
          <cell r="H121">
            <v>36576960</v>
          </cell>
          <cell r="I121" t="str">
            <v>Ongoing</v>
          </cell>
          <cell r="J121" t="str">
            <v>CBC</v>
          </cell>
          <cell r="L121">
            <v>45552</v>
          </cell>
          <cell r="M121">
            <v>45916</v>
          </cell>
        </row>
        <row r="122">
          <cell r="E122" t="str">
            <v>PP00246</v>
          </cell>
          <cell r="F122" t="str">
            <v>Income Based</v>
          </cell>
          <cell r="G122" t="str">
            <v>Tender</v>
          </cell>
          <cell r="H122">
            <v>9828000</v>
          </cell>
          <cell r="I122" t="str">
            <v>Ongoing</v>
          </cell>
          <cell r="J122" t="str">
            <v>Chhattisgarh State Power Generation Company Limited</v>
          </cell>
          <cell r="K122" t="str">
            <v>Coal</v>
          </cell>
          <cell r="L122">
            <v>45587</v>
          </cell>
          <cell r="M122">
            <v>45950</v>
          </cell>
        </row>
        <row r="123">
          <cell r="E123" t="str">
            <v>PP00247</v>
          </cell>
          <cell r="F123" t="str">
            <v>Income Based</v>
          </cell>
          <cell r="G123" t="str">
            <v>Nomination</v>
          </cell>
          <cell r="H123">
            <v>4936680</v>
          </cell>
          <cell r="I123" t="str">
            <v>Fully Closed</v>
          </cell>
          <cell r="J123" t="str">
            <v>Tourism Corporation of Gujarat</v>
          </cell>
          <cell r="K123" t="str">
            <v>Tourism</v>
          </cell>
          <cell r="L123">
            <v>45589</v>
          </cell>
          <cell r="M123">
            <v>45665</v>
          </cell>
        </row>
        <row r="124">
          <cell r="E124" t="str">
            <v>PP00248</v>
          </cell>
          <cell r="F124" t="str">
            <v>Income Based</v>
          </cell>
          <cell r="G124" t="str">
            <v>Nomination</v>
          </cell>
          <cell r="H124">
            <v>450000</v>
          </cell>
          <cell r="I124" t="str">
            <v>Fully Closed</v>
          </cell>
          <cell r="J124" t="str">
            <v xml:space="preserve">Nagar Nigam, Moradabad </v>
          </cell>
          <cell r="K124" t="str">
            <v>Infrastructure</v>
          </cell>
          <cell r="L124">
            <v>45602</v>
          </cell>
          <cell r="M124">
            <v>45632</v>
          </cell>
          <cell r="N124" t="str">
            <v>-</v>
          </cell>
        </row>
        <row r="125">
          <cell r="E125" t="str">
            <v>PP00249</v>
          </cell>
          <cell r="F125" t="str">
            <v>Income Based</v>
          </cell>
          <cell r="G125" t="str">
            <v>Nomination</v>
          </cell>
          <cell r="H125">
            <v>2000000</v>
          </cell>
          <cell r="I125" t="str">
            <v>Completed</v>
          </cell>
          <cell r="J125" t="str">
            <v>PHED, Govt. of Haryana</v>
          </cell>
          <cell r="K125" t="str">
            <v>Infrastructure</v>
          </cell>
          <cell r="L125">
            <v>45608</v>
          </cell>
          <cell r="M125">
            <v>45657</v>
          </cell>
          <cell r="N125" t="str">
            <v>-</v>
          </cell>
        </row>
        <row r="126">
          <cell r="E126" t="str">
            <v>PP00250</v>
          </cell>
          <cell r="F126" t="str">
            <v>Income Based</v>
          </cell>
          <cell r="G126" t="str">
            <v>Nomination</v>
          </cell>
          <cell r="H126">
            <v>12076400</v>
          </cell>
          <cell r="I126" t="str">
            <v>Ongoing</v>
          </cell>
          <cell r="J126" t="str">
            <v>MoJS</v>
          </cell>
          <cell r="K126" t="str">
            <v>Water</v>
          </cell>
          <cell r="L126">
            <v>45610</v>
          </cell>
          <cell r="M126">
            <v>45730</v>
          </cell>
        </row>
        <row r="127">
          <cell r="E127" t="str">
            <v>PP00251</v>
          </cell>
          <cell r="F127" t="str">
            <v>Income Based</v>
          </cell>
          <cell r="G127" t="str">
            <v>Nomination</v>
          </cell>
          <cell r="H127">
            <v>5300400</v>
          </cell>
          <cell r="I127" t="str">
            <v>Ongoing</v>
          </cell>
          <cell r="J127" t="str">
            <v>MoJS</v>
          </cell>
          <cell r="K127" t="str">
            <v>Water</v>
          </cell>
          <cell r="L127">
            <v>45610</v>
          </cell>
          <cell r="M127">
            <v>45730</v>
          </cell>
        </row>
        <row r="128">
          <cell r="E128" t="str">
            <v>PP00252</v>
          </cell>
          <cell r="F128" t="str">
            <v>Income Based</v>
          </cell>
          <cell r="G128" t="str">
            <v>Tender</v>
          </cell>
          <cell r="H128">
            <v>3787840</v>
          </cell>
          <cell r="I128" t="str">
            <v>Completed</v>
          </cell>
          <cell r="J128" t="str">
            <v>Agra Municipal Corporation</v>
          </cell>
          <cell r="K128" t="str">
            <v xml:space="preserve">Sanitation </v>
          </cell>
          <cell r="L128">
            <v>45615</v>
          </cell>
          <cell r="M128">
            <v>45801</v>
          </cell>
        </row>
        <row r="129">
          <cell r="E129" t="str">
            <v>PP00253</v>
          </cell>
          <cell r="F129" t="str">
            <v>Income Based</v>
          </cell>
          <cell r="G129" t="str">
            <v>Nomination</v>
          </cell>
          <cell r="H129">
            <v>300000</v>
          </cell>
          <cell r="I129" t="str">
            <v>Completed</v>
          </cell>
          <cell r="J129" t="str">
            <v xml:space="preserve">U.P. Projects Corporation Limited </v>
          </cell>
          <cell r="K129" t="str">
            <v>Infrastructure</v>
          </cell>
          <cell r="L129">
            <v>45619</v>
          </cell>
          <cell r="M129">
            <v>45646</v>
          </cell>
          <cell r="N129">
            <v>45716</v>
          </cell>
        </row>
        <row r="130">
          <cell r="E130" t="str">
            <v>PP00254</v>
          </cell>
          <cell r="F130" t="str">
            <v>Income Based</v>
          </cell>
          <cell r="G130" t="str">
            <v>Nomination</v>
          </cell>
          <cell r="H130">
            <v>20077200</v>
          </cell>
          <cell r="I130" t="str">
            <v>Ongoing</v>
          </cell>
          <cell r="J130" t="str">
            <v>Odisha State Civil Supplies Corporation (OSCSC)</v>
          </cell>
          <cell r="K130" t="str">
            <v>Food Security</v>
          </cell>
          <cell r="L130">
            <v>45621</v>
          </cell>
          <cell r="M130">
            <v>45752</v>
          </cell>
          <cell r="N130" t="str">
            <v>The revised date shall be determined based on the directions from MD, OSCSC and PPID Heads meeting with the client</v>
          </cell>
        </row>
        <row r="131">
          <cell r="E131" t="str">
            <v>PP00255</v>
          </cell>
          <cell r="F131" t="str">
            <v>Income Based</v>
          </cell>
          <cell r="G131" t="str">
            <v>Tender</v>
          </cell>
          <cell r="H131">
            <v>5428085.2699999996</v>
          </cell>
          <cell r="I131" t="str">
            <v>Ongoing</v>
          </cell>
          <cell r="J131" t="str">
            <v>NBCC INDIA LIMITED</v>
          </cell>
          <cell r="K131" t="str">
            <v>Infrastructure</v>
          </cell>
          <cell r="L131">
            <v>45424</v>
          </cell>
          <cell r="M131">
            <v>46173</v>
          </cell>
        </row>
        <row r="132">
          <cell r="E132" t="str">
            <v>PP00256</v>
          </cell>
          <cell r="F132" t="str">
            <v>Income Based</v>
          </cell>
          <cell r="G132" t="str">
            <v>Nomination</v>
          </cell>
          <cell r="H132">
            <v>27360000</v>
          </cell>
          <cell r="I132" t="str">
            <v>Ongoing</v>
          </cell>
          <cell r="J132" t="str">
            <v>BIPARD</v>
          </cell>
          <cell r="K132" t="str">
            <v>Infrastructure</v>
          </cell>
          <cell r="L132">
            <v>45642</v>
          </cell>
          <cell r="M132">
            <v>46752</v>
          </cell>
          <cell r="N132" t="str">
            <v>-</v>
          </cell>
        </row>
        <row r="133">
          <cell r="E133" t="str">
            <v>PP00257</v>
          </cell>
          <cell r="F133" t="str">
            <v>Income Based</v>
          </cell>
          <cell r="G133" t="str">
            <v>Nomination</v>
          </cell>
          <cell r="H133">
            <v>21862400</v>
          </cell>
          <cell r="I133" t="str">
            <v>Booked under SPD from FY 2025-26</v>
          </cell>
          <cell r="J133" t="str">
            <v>Samagra Shiksha, Department of Education, AP</v>
          </cell>
          <cell r="K133" t="str">
            <v>Quality Assurance</v>
          </cell>
          <cell r="L133">
            <v>45631</v>
          </cell>
          <cell r="M133">
            <v>45813</v>
          </cell>
          <cell r="N133" t="str">
            <v>-</v>
          </cell>
        </row>
        <row r="134">
          <cell r="E134" t="str">
            <v>PP00258</v>
          </cell>
          <cell r="F134" t="str">
            <v>Income Based</v>
          </cell>
          <cell r="G134" t="str">
            <v>Tender</v>
          </cell>
          <cell r="H134">
            <v>1691200</v>
          </cell>
          <cell r="I134" t="str">
            <v>Completed</v>
          </cell>
          <cell r="J134" t="str">
            <v>Ministry of Labour &amp; Employment</v>
          </cell>
          <cell r="K134" t="str">
            <v>Social Impact</v>
          </cell>
          <cell r="L134">
            <v>45640</v>
          </cell>
          <cell r="M134" t="str">
            <v>30/05/2025</v>
          </cell>
          <cell r="N134">
            <v>45818</v>
          </cell>
        </row>
        <row r="135">
          <cell r="E135" t="str">
            <v>PP00259</v>
          </cell>
          <cell r="F135" t="str">
            <v>Income Based</v>
          </cell>
          <cell r="G135" t="str">
            <v>Nomination</v>
          </cell>
          <cell r="H135">
            <v>37576134</v>
          </cell>
          <cell r="I135" t="str">
            <v>Ongoing</v>
          </cell>
          <cell r="J135" t="str">
            <v>FSSAI</v>
          </cell>
          <cell r="K135" t="str">
            <v>Food</v>
          </cell>
          <cell r="L135">
            <v>45691</v>
          </cell>
          <cell r="M135">
            <v>45803</v>
          </cell>
          <cell r="N135">
            <v>45913</v>
          </cell>
        </row>
        <row r="136">
          <cell r="E136" t="str">
            <v>PP00260</v>
          </cell>
          <cell r="F136" t="str">
            <v>Income Based</v>
          </cell>
          <cell r="G136" t="str">
            <v>Nomination</v>
          </cell>
          <cell r="H136">
            <v>10416000</v>
          </cell>
          <cell r="I136" t="str">
            <v>Ongoing</v>
          </cell>
          <cell r="J136" t="str">
            <v>Ministry of Culture</v>
          </cell>
          <cell r="K136" t="str">
            <v>Arts, Culture &amp; Heritage</v>
          </cell>
          <cell r="L136">
            <v>45628</v>
          </cell>
          <cell r="M136">
            <v>45992</v>
          </cell>
        </row>
        <row r="137">
          <cell r="E137" t="str">
            <v>PP00261</v>
          </cell>
          <cell r="F137" t="str">
            <v>Income Based</v>
          </cell>
          <cell r="G137" t="str">
            <v>Nomination</v>
          </cell>
          <cell r="H137">
            <v>1512000</v>
          </cell>
          <cell r="I137" t="str">
            <v>Ongoing</v>
          </cell>
          <cell r="J137" t="str">
            <v>Department of Administrative Reforms and Public Grievances</v>
          </cell>
          <cell r="K137" t="str">
            <v>Governance</v>
          </cell>
          <cell r="L137">
            <v>45637</v>
          </cell>
          <cell r="M137">
            <v>45729</v>
          </cell>
          <cell r="N137">
            <v>45841</v>
          </cell>
        </row>
        <row r="138">
          <cell r="E138" t="str">
            <v>PP00262</v>
          </cell>
          <cell r="F138" t="str">
            <v>Income Based</v>
          </cell>
          <cell r="G138" t="str">
            <v>Tender</v>
          </cell>
          <cell r="H138">
            <v>7169491.5300000003</v>
          </cell>
          <cell r="I138" t="str">
            <v>Ongoing</v>
          </cell>
          <cell r="J138" t="str">
            <v>Jamia Millia Islamia</v>
          </cell>
          <cell r="K138" t="str">
            <v>Infrastructure</v>
          </cell>
          <cell r="L138">
            <v>45639</v>
          </cell>
          <cell r="M138">
            <v>46003</v>
          </cell>
        </row>
        <row r="139">
          <cell r="E139" t="str">
            <v>PP00263</v>
          </cell>
          <cell r="F139" t="str">
            <v>Income Based</v>
          </cell>
          <cell r="G139" t="str">
            <v>Nomination</v>
          </cell>
          <cell r="H139" t="str">
            <v>Rs. 13,44,000 (Exlcuding Taxes) from 8th January to 7th May, 2025.</v>
          </cell>
          <cell r="I139" t="str">
            <v>Completed</v>
          </cell>
          <cell r="J139" t="str">
            <v>Department of Administrative Reforms and Public Grievances</v>
          </cell>
          <cell r="K139" t="str">
            <v>Governance</v>
          </cell>
          <cell r="L139">
            <v>45665</v>
          </cell>
          <cell r="M139">
            <v>45843</v>
          </cell>
          <cell r="N139" t="str">
            <v>-</v>
          </cell>
        </row>
        <row r="140">
          <cell r="E140" t="str">
            <v>PP00265</v>
          </cell>
          <cell r="F140" t="str">
            <v>Income Based</v>
          </cell>
          <cell r="G140" t="str">
            <v>Nomination</v>
          </cell>
          <cell r="H140">
            <v>139539510</v>
          </cell>
          <cell r="I140" t="str">
            <v>Ongoing</v>
          </cell>
          <cell r="J140" t="str">
            <v>KPCL</v>
          </cell>
          <cell r="K140" t="str">
            <v>Coal</v>
          </cell>
          <cell r="L140">
            <v>45661</v>
          </cell>
          <cell r="M140">
            <v>46783</v>
          </cell>
        </row>
        <row r="141">
          <cell r="E141" t="str">
            <v>PP00266</v>
          </cell>
          <cell r="F141" t="str">
            <v>Income Based</v>
          </cell>
          <cell r="G141" t="str">
            <v>Tender</v>
          </cell>
          <cell r="H141">
            <v>8326080</v>
          </cell>
          <cell r="I141" t="str">
            <v>Ongoing</v>
          </cell>
          <cell r="J141" t="str">
            <v>Bhopal Municipal Corporation</v>
          </cell>
          <cell r="K141" t="str">
            <v xml:space="preserve">Sanitation </v>
          </cell>
          <cell r="L141">
            <v>45694</v>
          </cell>
          <cell r="M141">
            <v>46059</v>
          </cell>
        </row>
        <row r="142">
          <cell r="E142" t="str">
            <v>PP00267</v>
          </cell>
          <cell r="F142" t="str">
            <v>Income Based</v>
          </cell>
          <cell r="G142" t="str">
            <v>Tender</v>
          </cell>
          <cell r="H142">
            <v>100171357</v>
          </cell>
          <cell r="I142" t="str">
            <v>Ongoing</v>
          </cell>
          <cell r="J142" t="str">
            <v>Ministry of Housing and Urban Affairs</v>
          </cell>
          <cell r="K142" t="str">
            <v xml:space="preserve">Sanitation </v>
          </cell>
          <cell r="L142">
            <v>45697</v>
          </cell>
          <cell r="M142">
            <v>46062</v>
          </cell>
        </row>
        <row r="143">
          <cell r="E143" t="str">
            <v>PP00268</v>
          </cell>
          <cell r="F143" t="str">
            <v>Income Based</v>
          </cell>
          <cell r="G143" t="str">
            <v>Nomination</v>
          </cell>
          <cell r="H143">
            <v>99200</v>
          </cell>
          <cell r="I143" t="str">
            <v>Fully Closed</v>
          </cell>
          <cell r="J143" t="str">
            <v>NLC India Limited</v>
          </cell>
          <cell r="K143" t="str">
            <v>Infrastructure</v>
          </cell>
          <cell r="L143">
            <v>45709</v>
          </cell>
          <cell r="M143">
            <v>46081</v>
          </cell>
        </row>
        <row r="144">
          <cell r="E144" t="str">
            <v>PP00269</v>
          </cell>
          <cell r="F144" t="str">
            <v>Income Based</v>
          </cell>
          <cell r="G144" t="str">
            <v>Nomination</v>
          </cell>
          <cell r="I144" t="str">
            <v>Ongoing</v>
          </cell>
          <cell r="J144" t="str">
            <v>SEPC Power Private Limited</v>
          </cell>
          <cell r="K144" t="str">
            <v>Coal</v>
          </cell>
          <cell r="L144">
            <v>45728</v>
          </cell>
          <cell r="M144">
            <v>49380</v>
          </cell>
        </row>
        <row r="145">
          <cell r="E145" t="str">
            <v>PP00270</v>
          </cell>
          <cell r="F145" t="str">
            <v>Income Based</v>
          </cell>
          <cell r="G145" t="str">
            <v>Nomination</v>
          </cell>
          <cell r="H145" t="str">
            <v>1,88,79,900 
(5th March - 16th August 2025)</v>
          </cell>
          <cell r="I145" t="str">
            <v>Ongoing</v>
          </cell>
          <cell r="J145" t="str">
            <v>MoHUA</v>
          </cell>
          <cell r="K145" t="str">
            <v>Social, Financial Inclsuion &amp; Identification of Vulnerable Occupational Groups</v>
          </cell>
          <cell r="L145">
            <v>45721</v>
          </cell>
          <cell r="M145">
            <v>45930</v>
          </cell>
          <cell r="N145">
            <v>45930</v>
          </cell>
        </row>
        <row r="146">
          <cell r="E146" t="str">
            <v>PP00271</v>
          </cell>
          <cell r="F146" t="str">
            <v>Income Based</v>
          </cell>
          <cell r="G146" t="str">
            <v>Nomination</v>
          </cell>
          <cell r="H146">
            <v>1036000</v>
          </cell>
          <cell r="I146" t="str">
            <v>Ongoing</v>
          </cell>
          <cell r="J146" t="str">
            <v>Gujtour Development Company Ltd</v>
          </cell>
          <cell r="K146" t="str">
            <v>Tourism</v>
          </cell>
          <cell r="L146">
            <v>45703</v>
          </cell>
          <cell r="M146">
            <v>45809</v>
          </cell>
        </row>
        <row r="147">
          <cell r="E147" t="str">
            <v>PP00272</v>
          </cell>
          <cell r="F147" t="str">
            <v>Income Based</v>
          </cell>
          <cell r="G147" t="str">
            <v>Nomination</v>
          </cell>
          <cell r="H147">
            <v>2150400</v>
          </cell>
          <cell r="I147" t="str">
            <v>Ongoing</v>
          </cell>
          <cell r="J147" t="str">
            <v>MHA</v>
          </cell>
          <cell r="L147">
            <v>45795</v>
          </cell>
          <cell r="M147">
            <v>46081</v>
          </cell>
        </row>
        <row r="148">
          <cell r="E148" t="str">
            <v>PP00273</v>
          </cell>
          <cell r="F148" t="str">
            <v>Income Based</v>
          </cell>
          <cell r="G148" t="str">
            <v>Nomination</v>
          </cell>
          <cell r="H148">
            <v>10886400</v>
          </cell>
          <cell r="I148" t="str">
            <v>Ongoing</v>
          </cell>
          <cell r="J148" t="str">
            <v>Ministry of Culture</v>
          </cell>
          <cell r="K148" t="str">
            <v>Arts, Culture &amp; Heritage</v>
          </cell>
          <cell r="L148">
            <v>45748</v>
          </cell>
          <cell r="M148">
            <v>46112</v>
          </cell>
        </row>
        <row r="149">
          <cell r="E149" t="str">
            <v>PP00274</v>
          </cell>
          <cell r="F149" t="str">
            <v>Income Based</v>
          </cell>
          <cell r="G149" t="str">
            <v>Nomination</v>
          </cell>
          <cell r="H149">
            <v>337500</v>
          </cell>
          <cell r="I149" t="str">
            <v>Ongoing</v>
          </cell>
          <cell r="J149" t="str">
            <v>Kanpur Electricity Supply Company</v>
          </cell>
          <cell r="K149" t="str">
            <v>Infrastructure</v>
          </cell>
          <cell r="L149">
            <v>45737</v>
          </cell>
          <cell r="M149">
            <v>46102</v>
          </cell>
        </row>
        <row r="150">
          <cell r="E150" t="str">
            <v>PP00275</v>
          </cell>
          <cell r="F150" t="str">
            <v>Income Based</v>
          </cell>
          <cell r="G150" t="str">
            <v>Nomination</v>
          </cell>
          <cell r="H150">
            <v>1350240</v>
          </cell>
          <cell r="I150" t="str">
            <v>Ongoing</v>
          </cell>
          <cell r="J150" t="str">
            <v>Nagar Nigam Mathura Vrindavan</v>
          </cell>
          <cell r="K150" t="str">
            <v>Infrastructure</v>
          </cell>
          <cell r="L150">
            <v>45734</v>
          </cell>
          <cell r="M150">
            <v>46191</v>
          </cell>
        </row>
        <row r="151">
          <cell r="E151" t="str">
            <v>PP00276</v>
          </cell>
          <cell r="F151" t="str">
            <v>Income Based</v>
          </cell>
          <cell r="G151" t="str">
            <v>Tender</v>
          </cell>
          <cell r="H151">
            <v>26100000</v>
          </cell>
          <cell r="I151" t="str">
            <v>Ongoing</v>
          </cell>
          <cell r="J151" t="str">
            <v xml:space="preserve">Barelley Development Authority </v>
          </cell>
          <cell r="K151" t="str">
            <v>Infrastructure</v>
          </cell>
          <cell r="L151">
            <v>45741</v>
          </cell>
          <cell r="M151">
            <v>46471</v>
          </cell>
        </row>
        <row r="152">
          <cell r="E152" t="str">
            <v>PP00277</v>
          </cell>
          <cell r="F152" t="str">
            <v>Income Based</v>
          </cell>
          <cell r="G152" t="str">
            <v>Nomination</v>
          </cell>
          <cell r="H152" t="str">
            <v>Rs. 66,24,800 (Excl. Taxes)</v>
          </cell>
          <cell r="I152" t="str">
            <v>Ongoing</v>
          </cell>
          <cell r="J152" t="str">
            <v>Government of Maharashtra</v>
          </cell>
          <cell r="K152" t="str">
            <v>Governance</v>
          </cell>
          <cell r="L152">
            <v>45748</v>
          </cell>
          <cell r="M152">
            <v>45808</v>
          </cell>
          <cell r="N152" t="str">
            <v>-</v>
          </cell>
        </row>
        <row r="153">
          <cell r="E153" t="str">
            <v>PP00278</v>
          </cell>
          <cell r="F153" t="str">
            <v>Income Based</v>
          </cell>
          <cell r="G153" t="str">
            <v>Nomination</v>
          </cell>
          <cell r="H153">
            <v>1355932</v>
          </cell>
          <cell r="I153" t="str">
            <v>Completed</v>
          </cell>
          <cell r="J153" t="str">
            <v>Roads &amp; Buildings Department , Gujarat</v>
          </cell>
          <cell r="K153" t="str">
            <v>R&amp;B</v>
          </cell>
          <cell r="L153">
            <v>45768</v>
          </cell>
          <cell r="M153">
            <v>45798</v>
          </cell>
        </row>
        <row r="154">
          <cell r="E154" t="str">
            <v>PP00279</v>
          </cell>
          <cell r="F154" t="str">
            <v>Income Based</v>
          </cell>
          <cell r="G154" t="str">
            <v>Tender</v>
          </cell>
          <cell r="H154">
            <v>1690964</v>
          </cell>
          <cell r="I154" t="str">
            <v>Ongoing</v>
          </cell>
          <cell r="J154" t="str">
            <v>Directorate of Evaluation (DoE), Govt. of Gujarat</v>
          </cell>
          <cell r="K154" t="str">
            <v>Irrigation</v>
          </cell>
          <cell r="L154">
            <v>45775</v>
          </cell>
          <cell r="M154">
            <v>45941</v>
          </cell>
          <cell r="N154" t="str">
            <v>NA</v>
          </cell>
        </row>
        <row r="155">
          <cell r="E155" t="str">
            <v>PP00280</v>
          </cell>
          <cell r="F155" t="str">
            <v>Income Based</v>
          </cell>
          <cell r="G155" t="str">
            <v>Tender</v>
          </cell>
          <cell r="H155">
            <v>3178200</v>
          </cell>
          <cell r="I155" t="str">
            <v>Ongoing</v>
          </cell>
          <cell r="J155" t="str">
            <v>Kanpur Electricity Supply Company</v>
          </cell>
          <cell r="K155" t="str">
            <v>Infrastructure</v>
          </cell>
          <cell r="L155">
            <v>45754</v>
          </cell>
          <cell r="M155">
            <v>46480</v>
          </cell>
        </row>
        <row r="156">
          <cell r="E156" t="str">
            <v>PP00281</v>
          </cell>
          <cell r="F156" t="str">
            <v>Income Based</v>
          </cell>
          <cell r="G156" t="str">
            <v>Tender</v>
          </cell>
          <cell r="H156">
            <v>1705000</v>
          </cell>
          <cell r="I156" t="str">
            <v>Ongoing</v>
          </cell>
          <cell r="J156" t="str">
            <v>NIUA</v>
          </cell>
          <cell r="K156" t="str">
            <v>Water suply</v>
          </cell>
          <cell r="L156">
            <v>45775</v>
          </cell>
          <cell r="M156">
            <v>45836</v>
          </cell>
        </row>
        <row r="157">
          <cell r="E157" t="str">
            <v>PP00282</v>
          </cell>
          <cell r="F157" t="str">
            <v>Income Based</v>
          </cell>
          <cell r="G157" t="str">
            <v>Nomination</v>
          </cell>
          <cell r="H157">
            <v>1108800</v>
          </cell>
          <cell r="I157" t="str">
            <v>Ongoing</v>
          </cell>
          <cell r="J157" t="str">
            <v>NLMC</v>
          </cell>
          <cell r="L157">
            <v>45716</v>
          </cell>
          <cell r="M157">
            <v>45869</v>
          </cell>
        </row>
        <row r="158">
          <cell r="E158" t="str">
            <v>PP00283</v>
          </cell>
          <cell r="F158" t="str">
            <v>Income Based</v>
          </cell>
          <cell r="G158" t="str">
            <v>Nomination</v>
          </cell>
          <cell r="H158">
            <v>23661100</v>
          </cell>
          <cell r="I158" t="str">
            <v>Ongoing</v>
          </cell>
          <cell r="J158" t="str">
            <v>Ministry of Culture</v>
          </cell>
          <cell r="K158" t="str">
            <v>Arts, Culture &amp; Heritage</v>
          </cell>
          <cell r="L158">
            <v>45748</v>
          </cell>
          <cell r="M158">
            <v>46112</v>
          </cell>
        </row>
        <row r="159">
          <cell r="E159" t="str">
            <v>PP00284</v>
          </cell>
          <cell r="F159" t="str">
            <v>Income Based</v>
          </cell>
          <cell r="G159" t="str">
            <v>Tender</v>
          </cell>
          <cell r="H159">
            <v>2150500</v>
          </cell>
          <cell r="I159" t="str">
            <v>Ongoing</v>
          </cell>
          <cell r="J159" t="str">
            <v>NIUA</v>
          </cell>
          <cell r="K159" t="str">
            <v>Water suply</v>
          </cell>
          <cell r="L159">
            <v>45794</v>
          </cell>
          <cell r="M159">
            <v>45917</v>
          </cell>
        </row>
        <row r="160">
          <cell r="E160" t="str">
            <v>PP00285</v>
          </cell>
          <cell r="F160" t="str">
            <v>Income Based</v>
          </cell>
          <cell r="G160" t="str">
            <v>Nomination</v>
          </cell>
          <cell r="H160">
            <v>278417</v>
          </cell>
          <cell r="I160" t="str">
            <v>Ongoing</v>
          </cell>
          <cell r="J160" t="str">
            <v>U.P. State Archaeology Department</v>
          </cell>
          <cell r="K160" t="str">
            <v>Infrastructure</v>
          </cell>
          <cell r="L160">
            <v>45813</v>
          </cell>
          <cell r="M160">
            <v>45869</v>
          </cell>
        </row>
        <row r="161">
          <cell r="E161" t="str">
            <v>PP00286</v>
          </cell>
          <cell r="F161" t="str">
            <v>Income Based</v>
          </cell>
          <cell r="G161" t="str">
            <v>Nomination</v>
          </cell>
          <cell r="H161">
            <v>7200236</v>
          </cell>
          <cell r="I161" t="str">
            <v>Ongoing</v>
          </cell>
          <cell r="J161" t="str">
            <v>Department of Animal Husbandry &amp; Dairying (DAHD), Ministry of Fisheries, Animal Husbandry and Dairying, GoI</v>
          </cell>
          <cell r="K161" t="str">
            <v>Dairy Development</v>
          </cell>
          <cell r="L161">
            <v>45827</v>
          </cell>
          <cell r="M161">
            <v>45981</v>
          </cell>
          <cell r="N161" t="str">
            <v>NA</v>
          </cell>
        </row>
        <row r="162">
          <cell r="E162" t="str">
            <v>PP00287</v>
          </cell>
          <cell r="F162" t="str">
            <v>Income Based</v>
          </cell>
          <cell r="G162" t="str">
            <v>Tender</v>
          </cell>
          <cell r="H162">
            <v>108160639</v>
          </cell>
          <cell r="I162" t="str">
            <v>Ongoing</v>
          </cell>
          <cell r="J162" t="str">
            <v>SUDA, Chhattisgarh</v>
          </cell>
          <cell r="K162" t="str">
            <v xml:space="preserve">Sanitation </v>
          </cell>
          <cell r="L162">
            <v>45877</v>
          </cell>
          <cell r="M162">
            <v>46607</v>
          </cell>
        </row>
        <row r="163">
          <cell r="E163" t="str">
            <v>PP00288</v>
          </cell>
          <cell r="F163" t="str">
            <v>Income Based</v>
          </cell>
          <cell r="G163" t="str">
            <v>Tender</v>
          </cell>
          <cell r="H163">
            <v>1335121.1864406781</v>
          </cell>
          <cell r="I163" t="str">
            <v>Ongoing</v>
          </cell>
          <cell r="J163" t="str">
            <v>National Institute of Public Cooperation and Child Development (NIPCCD)</v>
          </cell>
          <cell r="K163" t="str">
            <v>Infrastructure</v>
          </cell>
          <cell r="L163">
            <v>45817</v>
          </cell>
          <cell r="M163">
            <v>46180</v>
          </cell>
        </row>
        <row r="164">
          <cell r="E164" t="str">
            <v>PP00289</v>
          </cell>
          <cell r="F164" t="str">
            <v>Income Based</v>
          </cell>
          <cell r="G164" t="str">
            <v>Tender</v>
          </cell>
          <cell r="H164">
            <v>1279041.3559322036</v>
          </cell>
          <cell r="I164" t="str">
            <v>Ongoing</v>
          </cell>
          <cell r="J164" t="str">
            <v>NBCC</v>
          </cell>
          <cell r="K164" t="str">
            <v>Infrastructure</v>
          </cell>
          <cell r="L164">
            <v>45814</v>
          </cell>
          <cell r="M164">
            <v>46477</v>
          </cell>
        </row>
        <row r="165">
          <cell r="E165" t="str">
            <v>PP00290</v>
          </cell>
          <cell r="F165" t="str">
            <v>Income Based</v>
          </cell>
          <cell r="G165" t="str">
            <v>Tender</v>
          </cell>
          <cell r="H165">
            <v>3822925.42</v>
          </cell>
          <cell r="I165" t="str">
            <v>Ongoing</v>
          </cell>
          <cell r="J165" t="str">
            <v>NBCC</v>
          </cell>
          <cell r="K165" t="str">
            <v>Infrastructure</v>
          </cell>
          <cell r="L165">
            <v>45832</v>
          </cell>
          <cell r="M165">
            <v>46295</v>
          </cell>
        </row>
        <row r="166">
          <cell r="E166" t="str">
            <v>PP00291</v>
          </cell>
          <cell r="F166" t="str">
            <v>Income Based</v>
          </cell>
          <cell r="G166" t="str">
            <v>Nomination</v>
          </cell>
          <cell r="H166">
            <v>680624</v>
          </cell>
          <cell r="I166" t="str">
            <v>Ongoing</v>
          </cell>
          <cell r="J166" t="str">
            <v>Ministry of Labour &amp; Employment</v>
          </cell>
          <cell r="K166" t="str">
            <v>Social Impact</v>
          </cell>
          <cell r="L166">
            <v>45833</v>
          </cell>
          <cell r="M166">
            <v>45900</v>
          </cell>
          <cell r="N166" t="str">
            <v>NA</v>
          </cell>
        </row>
        <row r="167">
          <cell r="E167" t="str">
            <v>PP00292</v>
          </cell>
          <cell r="F167" t="str">
            <v>Income Based</v>
          </cell>
          <cell r="G167" t="str">
            <v>Tender</v>
          </cell>
          <cell r="H167">
            <v>3344090</v>
          </cell>
          <cell r="I167" t="str">
            <v>Ongoing</v>
          </cell>
          <cell r="J167" t="str">
            <v>Ministry of Tribal Affairs</v>
          </cell>
          <cell r="K167" t="str">
            <v>Tribal Affairs</v>
          </cell>
          <cell r="L167">
            <v>45845</v>
          </cell>
          <cell r="M167">
            <v>45907</v>
          </cell>
          <cell r="N167">
            <v>45915</v>
          </cell>
        </row>
        <row r="168">
          <cell r="E168" t="str">
            <v>PP00293</v>
          </cell>
          <cell r="F168" t="str">
            <v>Income Based</v>
          </cell>
          <cell r="G168" t="str">
            <v>Nomination</v>
          </cell>
          <cell r="H168">
            <v>14533635</v>
          </cell>
          <cell r="I168" t="str">
            <v>Ongoing</v>
          </cell>
          <cell r="J168" t="str">
            <v>Ministry of Culture</v>
          </cell>
          <cell r="K168" t="str">
            <v>Arts, Culture &amp; Heritage</v>
          </cell>
          <cell r="L168">
            <v>45862</v>
          </cell>
          <cell r="M168">
            <v>45953</v>
          </cell>
        </row>
        <row r="169">
          <cell r="E169" t="str">
            <v>PP00294</v>
          </cell>
          <cell r="F169" t="str">
            <v>Income Based</v>
          </cell>
          <cell r="G169" t="str">
            <v>Tender</v>
          </cell>
          <cell r="H169">
            <v>2105490.677966102</v>
          </cell>
          <cell r="I169" t="str">
            <v>Ongoing</v>
          </cell>
          <cell r="J169" t="str">
            <v>Ministry of Women and Child Development</v>
          </cell>
          <cell r="K169" t="str">
            <v>Infrastructure</v>
          </cell>
          <cell r="L169">
            <v>45866</v>
          </cell>
          <cell r="M169">
            <v>46230</v>
          </cell>
        </row>
        <row r="170">
          <cell r="E170" t="str">
            <v>PP00295</v>
          </cell>
        </row>
        <row r="171">
          <cell r="E171" t="str">
            <v>PP00296</v>
          </cell>
          <cell r="F171" t="str">
            <v>Income Based</v>
          </cell>
          <cell r="G171" t="str">
            <v>Nomination</v>
          </cell>
          <cell r="H171">
            <v>48662512</v>
          </cell>
          <cell r="I171" t="str">
            <v>Ongoing</v>
          </cell>
          <cell r="J171" t="str">
            <v>Bureau of Police Research and Development, MHA</v>
          </cell>
          <cell r="K171" t="str">
            <v>Police Reforms &amp; Public Perception</v>
          </cell>
          <cell r="L171">
            <v>45833</v>
          </cell>
          <cell r="N171" t="str">
            <v>NA</v>
          </cell>
        </row>
        <row r="172">
          <cell r="E172" t="str">
            <v>PP00297</v>
          </cell>
          <cell r="F172" t="str">
            <v>Income Based</v>
          </cell>
          <cell r="G172" t="str">
            <v>Tender</v>
          </cell>
          <cell r="H172">
            <v>4182864</v>
          </cell>
          <cell r="I172" t="str">
            <v>Ongoing</v>
          </cell>
          <cell r="J172" t="str">
            <v>Department of Justice</v>
          </cell>
          <cell r="K172" t="str">
            <v>Social Impact</v>
          </cell>
          <cell r="L172">
            <v>45880</v>
          </cell>
          <cell r="M172" t="str">
            <v>13/02/2026</v>
          </cell>
          <cell r="N172" t="str">
            <v>NA</v>
          </cell>
        </row>
        <row r="173">
          <cell r="E173" t="str">
            <v>PP00298</v>
          </cell>
          <cell r="F173" t="str">
            <v>Income Based</v>
          </cell>
          <cell r="G173" t="str">
            <v>Tender</v>
          </cell>
          <cell r="H173">
            <v>12938464</v>
          </cell>
          <cell r="I173" t="str">
            <v>Ongoing</v>
          </cell>
          <cell r="J173" t="str">
            <v>Ministry of Ayush</v>
          </cell>
          <cell r="K173" t="str">
            <v>Social Impact</v>
          </cell>
          <cell r="L173">
            <v>45887</v>
          </cell>
          <cell r="M173">
            <v>46145</v>
          </cell>
          <cell r="N173" t="str">
            <v>NA</v>
          </cell>
        </row>
        <row r="174">
          <cell r="E174" t="str">
            <v>PP00299</v>
          </cell>
          <cell r="F174" t="str">
            <v>Income Based</v>
          </cell>
          <cell r="G174" t="str">
            <v>Nomination</v>
          </cell>
          <cell r="H174">
            <v>12348060</v>
          </cell>
          <cell r="I174" t="str">
            <v>Ongoing</v>
          </cell>
          <cell r="J174" t="str">
            <v>Department of Animal Husbandry &amp; Dairying (DAHD), Ministry of Fisheries, Animal Husbandry and Dairying, GoI</v>
          </cell>
          <cell r="K174" t="str">
            <v>Livestock Disease Control</v>
          </cell>
          <cell r="L174">
            <v>45888</v>
          </cell>
          <cell r="M174" t="str">
            <v>19/12/2024</v>
          </cell>
          <cell r="N174" t="str">
            <v>NA</v>
          </cell>
        </row>
        <row r="175">
          <cell r="E175" t="str">
            <v>PP00300</v>
          </cell>
          <cell r="F175" t="str">
            <v>Income Based</v>
          </cell>
          <cell r="G175" t="str">
            <v>Tender</v>
          </cell>
          <cell r="H175">
            <v>6912480.9576271195</v>
          </cell>
          <cell r="I175" t="str">
            <v>Ongoing</v>
          </cell>
          <cell r="J175" t="str">
            <v>NBCC</v>
          </cell>
          <cell r="K175" t="str">
            <v>Infrastructure</v>
          </cell>
          <cell r="L175">
            <v>45875</v>
          </cell>
          <cell r="M175">
            <v>46605</v>
          </cell>
        </row>
        <row r="176">
          <cell r="E176" t="str">
            <v>PP00301</v>
          </cell>
          <cell r="F176" t="str">
            <v>Income Based</v>
          </cell>
          <cell r="G176" t="str">
            <v>Tender</v>
          </cell>
          <cell r="H176">
            <v>6912480.9576271195</v>
          </cell>
          <cell r="I176" t="str">
            <v>Ongoing</v>
          </cell>
          <cell r="J176" t="str">
            <v>NBCC</v>
          </cell>
          <cell r="K176" t="str">
            <v>Infrastructure</v>
          </cell>
          <cell r="L176">
            <v>45875</v>
          </cell>
          <cell r="M176">
            <v>46605</v>
          </cell>
        </row>
        <row r="177">
          <cell r="E177" t="str">
            <v>PP00302</v>
          </cell>
          <cell r="F177" t="str">
            <v>Income Based</v>
          </cell>
          <cell r="G177" t="str">
            <v>Tender</v>
          </cell>
          <cell r="H177">
            <v>5927154</v>
          </cell>
          <cell r="I177" t="str">
            <v>Ongoing</v>
          </cell>
          <cell r="J177" t="str">
            <v>DPIIT</v>
          </cell>
          <cell r="K177" t="str">
            <v>Leather &amp; Footwear</v>
          </cell>
          <cell r="L177">
            <v>45890</v>
          </cell>
          <cell r="M177" t="str">
            <v>22/12/2025</v>
          </cell>
          <cell r="N177" t="str">
            <v>NA</v>
          </cell>
        </row>
        <row r="178">
          <cell r="E178" t="str">
            <v>PP00303</v>
          </cell>
          <cell r="F178" t="str">
            <v>Income Based</v>
          </cell>
          <cell r="G178" t="str">
            <v>Tender</v>
          </cell>
          <cell r="H178">
            <v>43575000</v>
          </cell>
          <cell r="I178" t="str">
            <v>Ongoing</v>
          </cell>
          <cell r="J178" t="str">
            <v>Government of Gujarat</v>
          </cell>
          <cell r="K178" t="str">
            <v xml:space="preserve">Sanitation </v>
          </cell>
          <cell r="L178">
            <v>45894</v>
          </cell>
          <cell r="M178">
            <v>45893</v>
          </cell>
        </row>
        <row r="179">
          <cell r="E179" t="str">
            <v>Yet to be generated</v>
          </cell>
          <cell r="F179" t="str">
            <v>Income Based</v>
          </cell>
          <cell r="G179" t="str">
            <v>Nomination</v>
          </cell>
          <cell r="H179">
            <v>24719040</v>
          </cell>
          <cell r="J179" t="str">
            <v>Bureau of Police Research and Development, MHA</v>
          </cell>
          <cell r="K179" t="str">
            <v>Police Reforms &amp; Public Perception</v>
          </cell>
        </row>
        <row r="180">
          <cell r="E180" t="str">
            <v>Yet to be granted</v>
          </cell>
          <cell r="F180" t="str">
            <v>Income Based</v>
          </cell>
          <cell r="G180" t="str">
            <v>Nomination</v>
          </cell>
          <cell r="H180">
            <v>2681301</v>
          </cell>
          <cell r="I180" t="str">
            <v>Ongoing</v>
          </cell>
          <cell r="J180" t="str">
            <v>Department of Animal Husbandry &amp; Dairying (DAHD), Ministry of Fisheries, Animal Husbandry and Dairying, GoI</v>
          </cell>
          <cell r="K180" t="str">
            <v>Dairy Development</v>
          </cell>
          <cell r="L180">
            <v>45904</v>
          </cell>
          <cell r="M180">
            <v>46022</v>
          </cell>
          <cell r="N180" t="str">
            <v>NA</v>
          </cell>
        </row>
        <row r="181">
          <cell r="F181" t="str">
            <v>Nature  - Income Based / Pro-Bono</v>
          </cell>
          <cell r="G181" t="str">
            <v>Tender/Nomination</v>
          </cell>
          <cell r="I181" t="str">
            <v>Ongoing- Live project
Completed - Submission of final report, raised all invoices(inclusive of taxes)
Fully closed- Completion certificate received and all payments received (inclusive of taxes)</v>
          </cell>
          <cell r="K181" t="str">
            <v>Specify domain of the project as per its deliverables/role of QCI in the project</v>
          </cell>
          <cell r="L181" t="str">
            <v>Please mention the date in the format - DD/MM/YYYY</v>
          </cell>
          <cell r="M181" t="str">
            <v>Please mention the date in the format - DD/MM/YYYY</v>
          </cell>
          <cell r="N181" t="str">
            <v>Please mention the date in the format - DD/MM/YYYY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ID List of all Projects "/>
      <sheetName val="Mothly update sheet ref. "/>
      <sheetName val="KMS Progress"/>
    </sheetNames>
    <sheetDataSet>
      <sheetData sheetId="0">
        <row r="1">
          <cell r="B1" t="str">
            <v>Project Code</v>
          </cell>
          <cell r="C1" t="str">
            <v>State</v>
          </cell>
          <cell r="D1" t="str">
            <v>Client/Department</v>
          </cell>
          <cell r="E1" t="str">
            <v>Client/Ministry</v>
          </cell>
          <cell r="F1" t="str">
            <v>Client Type</v>
          </cell>
          <cell r="G1" t="str">
            <v>Sector/Domain (2)</v>
          </cell>
          <cell r="H1" t="str">
            <v>Nature of Project</v>
          </cell>
        </row>
        <row r="2">
          <cell r="B2" t="str">
            <v>PB00001</v>
          </cell>
          <cell r="C2" t="str">
            <v>Pan India</v>
          </cell>
          <cell r="D2"/>
          <cell r="E2"/>
          <cell r="F2" t="str">
            <v>Ministry</v>
          </cell>
          <cell r="G2" t="str">
            <v>Others</v>
          </cell>
          <cell r="H2" t="str">
            <v>Others</v>
          </cell>
        </row>
        <row r="3">
          <cell r="B3" t="str">
            <v>PB00002</v>
          </cell>
          <cell r="C3" t="str">
            <v>Pan India</v>
          </cell>
          <cell r="D3" t="str">
            <v>Department for Promotion of Industry and Internal Trade,</v>
          </cell>
          <cell r="E3" t="str">
            <v>Ministry of Commerce and Industry</v>
          </cell>
          <cell r="F3" t="str">
            <v>Ministry</v>
          </cell>
          <cell r="G3" t="str">
            <v>Financial Mgmt, Policy Analysis &amp; Research</v>
          </cell>
          <cell r="H3" t="str">
            <v>Capacity building &amp; Impact Assessment</v>
          </cell>
        </row>
        <row r="4">
          <cell r="B4" t="str">
            <v>PB00003</v>
          </cell>
          <cell r="C4" t="str">
            <v>Pan India</v>
          </cell>
          <cell r="D4"/>
          <cell r="E4"/>
          <cell r="F4" t="str">
            <v>Ministry</v>
          </cell>
          <cell r="G4" t="str">
            <v>Others</v>
          </cell>
          <cell r="H4" t="str">
            <v>Others</v>
          </cell>
        </row>
        <row r="5">
          <cell r="B5" t="str">
            <v>PB00004</v>
          </cell>
          <cell r="C5" t="str">
            <v>Uttar Pradesh</v>
          </cell>
          <cell r="D5" t="str">
            <v>Uttar Pradesh State Road Transport Corporation (UPSRTC)</v>
          </cell>
          <cell r="E5" t="str">
            <v>Government of Uttar Pradesh</v>
          </cell>
          <cell r="F5"/>
          <cell r="G5" t="str">
            <v>Structural &amp; Utilities Management</v>
          </cell>
          <cell r="H5" t="str">
            <v>TPI/TPA/TPE/TPQA</v>
          </cell>
        </row>
        <row r="6">
          <cell r="B6" t="str">
            <v>PB00011</v>
          </cell>
          <cell r="C6" t="str">
            <v>Pan India</v>
          </cell>
          <cell r="D6"/>
          <cell r="E6"/>
          <cell r="F6"/>
          <cell r="G6" t="str">
            <v>Social Welfare, Education &amp; Skill Development</v>
          </cell>
          <cell r="H6" t="str">
            <v>Capacity building &amp; Impact Assessment</v>
          </cell>
        </row>
        <row r="7">
          <cell r="B7" t="str">
            <v>PB00012</v>
          </cell>
          <cell r="C7" t="str">
            <v>Maharashtra</v>
          </cell>
          <cell r="D7" t="str">
            <v>Nashik Municipal Corporation</v>
          </cell>
          <cell r="E7" t="str">
            <v>Government of Maharashtra</v>
          </cell>
          <cell r="F7" t="str">
            <v>State Govt.</v>
          </cell>
          <cell r="G7" t="str">
            <v>Water &amp; Sanitation</v>
          </cell>
          <cell r="H7" t="str">
            <v>Others</v>
          </cell>
        </row>
        <row r="8">
          <cell r="B8" t="str">
            <v>PB00013</v>
          </cell>
          <cell r="C8" t="str">
            <v>Pan India</v>
          </cell>
          <cell r="D8"/>
          <cell r="E8"/>
          <cell r="F8"/>
          <cell r="G8" t="str">
            <v>Agriculture, Food Processing &amp; Supply Chain</v>
          </cell>
          <cell r="H8" t="str">
            <v>TPI/TPA/TPE/TPQA</v>
          </cell>
        </row>
        <row r="9">
          <cell r="B9" t="str">
            <v>PB00014</v>
          </cell>
          <cell r="C9" t="str">
            <v>Gujarat</v>
          </cell>
          <cell r="D9" t="str">
            <v>Banaskantha District Co-op. Milk Producers' Union Ltd.</v>
          </cell>
          <cell r="E9" t="str">
            <v>Cooperative</v>
          </cell>
          <cell r="F9" t="str">
            <v>Cooperative</v>
          </cell>
          <cell r="G9" t="str">
            <v>Mining &amp; Metallurgy</v>
          </cell>
          <cell r="H9" t="str">
            <v>TPI/TPA/TPE/TPQA</v>
          </cell>
        </row>
        <row r="10">
          <cell r="B10" t="str">
            <v>PB00015</v>
          </cell>
          <cell r="C10" t="str">
            <v>Pan India</v>
          </cell>
          <cell r="D10"/>
          <cell r="E10" t="str">
            <v>Department of Food and Public Distribution</v>
          </cell>
          <cell r="F10" t="str">
            <v>Ministry</v>
          </cell>
          <cell r="G10" t="str">
            <v>Agriculture, Food Processing &amp; Supply Chain</v>
          </cell>
          <cell r="H10" t="str">
            <v>TPI/TPA/TPE/TPQA</v>
          </cell>
        </row>
        <row r="11">
          <cell r="B11" t="str">
            <v>PB00016</v>
          </cell>
          <cell r="C11" t="str">
            <v>Rajasthan</v>
          </cell>
          <cell r="D11"/>
          <cell r="E11"/>
          <cell r="F11"/>
          <cell r="G11" t="str">
            <v>Structural &amp; Utilities Management</v>
          </cell>
          <cell r="H11" t="str">
            <v>TPI/TPA/TPE/TPQA</v>
          </cell>
        </row>
        <row r="12">
          <cell r="B12" t="str">
            <v>PB00017</v>
          </cell>
          <cell r="C12" t="str">
            <v>Pan India</v>
          </cell>
          <cell r="D12"/>
          <cell r="E12" t="str">
            <v>Sasakawa-India Leprosy Foundation.</v>
          </cell>
          <cell r="F12" t="str">
            <v>Non-Profit Organisation</v>
          </cell>
          <cell r="G12" t="str">
            <v>Social Welfare, Education &amp; Skill Development</v>
          </cell>
          <cell r="H12" t="str">
            <v>Capacity building &amp; Impact Assessment</v>
          </cell>
        </row>
        <row r="13">
          <cell r="B13" t="str">
            <v>PB00018</v>
          </cell>
          <cell r="C13" t="str">
            <v>Pan India</v>
          </cell>
          <cell r="D13"/>
          <cell r="E13" t="str">
            <v>Ministry of Culture</v>
          </cell>
          <cell r="F13" t="str">
            <v>Ministry</v>
          </cell>
          <cell r="G13" t="str">
            <v>Arts, Culture &amp; Tourism</v>
          </cell>
          <cell r="H13" t="str">
            <v>Capacity building &amp; Impact Assessment</v>
          </cell>
        </row>
        <row r="14">
          <cell r="B14" t="str">
            <v>PB00019</v>
          </cell>
          <cell r="C14" t="str">
            <v>Gujarat</v>
          </cell>
          <cell r="D14"/>
          <cell r="E14" t="str">
            <v>Shri Somnath Trust</v>
          </cell>
          <cell r="F14" t="str">
            <v>Independent Body</v>
          </cell>
          <cell r="G14" t="str">
            <v>Arts, Culture &amp; Tourism</v>
          </cell>
          <cell r="H14" t="str">
            <v>Capacity building &amp; Impact Assessment</v>
          </cell>
        </row>
        <row r="15">
          <cell r="B15" t="str">
            <v>PP00001</v>
          </cell>
          <cell r="C15" t="str">
            <v>Pan India</v>
          </cell>
          <cell r="D15"/>
          <cell r="E15" t="str">
            <v>Coal India Limited</v>
          </cell>
          <cell r="F15" t="str">
            <v>PSU</v>
          </cell>
          <cell r="G15" t="str">
            <v>Mining &amp; Metallurgy</v>
          </cell>
          <cell r="H15" t="str">
            <v>TPI/TPA/TPE/TPQA</v>
          </cell>
        </row>
        <row r="16">
          <cell r="B16" t="str">
            <v>PP00002</v>
          </cell>
          <cell r="C16" t="str">
            <v>Pan India</v>
          </cell>
          <cell r="D16"/>
          <cell r="E16" t="str">
            <v>Ministry of Housing and Urban Affairs</v>
          </cell>
          <cell r="F16" t="str">
            <v>Ministry</v>
          </cell>
          <cell r="G16" t="str">
            <v>Water &amp; Sanitation</v>
          </cell>
          <cell r="H16" t="str">
            <v>TPI/TPA/TPE/TPQA</v>
          </cell>
        </row>
        <row r="17">
          <cell r="B17" t="str">
            <v>PP00003</v>
          </cell>
          <cell r="C17" t="str">
            <v>Pan India</v>
          </cell>
          <cell r="D17"/>
          <cell r="E17" t="str">
            <v>Ministry of Housing and Urban Affairs</v>
          </cell>
          <cell r="F17" t="str">
            <v>Ministry</v>
          </cell>
          <cell r="G17" t="str">
            <v>Water &amp; Sanitation</v>
          </cell>
          <cell r="H17" t="str">
            <v>TPI/TPA/TPE/TPQA</v>
          </cell>
        </row>
        <row r="18">
          <cell r="B18" t="str">
            <v>PP00004</v>
          </cell>
          <cell r="C18" t="str">
            <v>Pan India</v>
          </cell>
          <cell r="D18"/>
          <cell r="E18" t="str">
            <v>Ministry of Housing and Urban Affairs</v>
          </cell>
          <cell r="F18" t="str">
            <v>Ministry</v>
          </cell>
          <cell r="G18" t="str">
            <v>Water &amp; Sanitation</v>
          </cell>
          <cell r="H18" t="str">
            <v>TPI/TPA/TPE/TPQA</v>
          </cell>
        </row>
        <row r="19">
          <cell r="B19" t="str">
            <v>PP00005</v>
          </cell>
          <cell r="C19" t="str">
            <v>Pan India</v>
          </cell>
          <cell r="D19" t="str">
            <v>IBF-OI</v>
          </cell>
          <cell r="E19" t="str">
            <v>Govt Body (Not for Profit)</v>
          </cell>
          <cell r="F19" t="str">
            <v>Ministry</v>
          </cell>
          <cell r="G19" t="str">
            <v>Financial Mgmt, Policy Analysis &amp; Research</v>
          </cell>
          <cell r="H19" t="str">
            <v>TPI/TPA/TPE/TPQA</v>
          </cell>
        </row>
        <row r="20">
          <cell r="B20" t="str">
            <v>PP00006</v>
          </cell>
          <cell r="C20" t="str">
            <v>Pan India</v>
          </cell>
          <cell r="D20"/>
          <cell r="E20" t="str">
            <v>HPCL</v>
          </cell>
          <cell r="F20" t="str">
            <v>PSU</v>
          </cell>
          <cell r="G20" t="str">
            <v>Water &amp; Sanitation</v>
          </cell>
          <cell r="H20" t="str">
            <v>TPI/TPA/TPE/TPQA</v>
          </cell>
        </row>
        <row r="21">
          <cell r="B21" t="str">
            <v>PP00007</v>
          </cell>
          <cell r="C21" t="str">
            <v>Madhya Pradesh</v>
          </cell>
          <cell r="D21"/>
          <cell r="E21" t="str">
            <v>Government of Madhya Pradesh</v>
          </cell>
          <cell r="F21" t="str">
            <v>State Govt.</v>
          </cell>
          <cell r="G21" t="str">
            <v>Water &amp; Sanitation</v>
          </cell>
          <cell r="H21" t="str">
            <v>Capacity building &amp; Impact Assessment</v>
          </cell>
        </row>
        <row r="22">
          <cell r="B22" t="str">
            <v>PP00008</v>
          </cell>
          <cell r="C22" t="str">
            <v>Madhya Pradesh</v>
          </cell>
          <cell r="D22" t="str">
            <v>Municipal Corporation of Gwalior</v>
          </cell>
          <cell r="E22" t="str">
            <v>Government of Madhya Pradesh</v>
          </cell>
          <cell r="F22" t="str">
            <v>State Govt.</v>
          </cell>
          <cell r="G22" t="str">
            <v>Water &amp; Sanitation</v>
          </cell>
          <cell r="H22" t="str">
            <v>Capacity building &amp; Impact Assessment</v>
          </cell>
        </row>
        <row r="23">
          <cell r="B23" t="str">
            <v>PP00009</v>
          </cell>
          <cell r="C23" t="str">
            <v>Madhya Pradesh</v>
          </cell>
          <cell r="D23"/>
          <cell r="E23" t="str">
            <v>Government of Madhya Pradesh</v>
          </cell>
          <cell r="F23" t="str">
            <v>State Govt.</v>
          </cell>
          <cell r="G23" t="str">
            <v>Water &amp; Sanitation</v>
          </cell>
          <cell r="H23" t="str">
            <v>TPI/TPA/TPE/TPQA</v>
          </cell>
        </row>
        <row r="24">
          <cell r="B24" t="str">
            <v>PP00010</v>
          </cell>
          <cell r="C24" t="str">
            <v>NCT of Delhi</v>
          </cell>
          <cell r="D24"/>
          <cell r="E24" t="str">
            <v>Ministry of Housing and Urban Affairs</v>
          </cell>
          <cell r="F24" t="str">
            <v>Ministry</v>
          </cell>
          <cell r="G24" t="str">
            <v>Water &amp; Sanitation</v>
          </cell>
          <cell r="H24" t="str">
            <v>TPI/TPA/TPE/TPQA</v>
          </cell>
        </row>
        <row r="25">
          <cell r="B25" t="str">
            <v>PP00011</v>
          </cell>
          <cell r="C25" t="str">
            <v>Pan India</v>
          </cell>
          <cell r="D25"/>
          <cell r="E25" t="str">
            <v>Ministry of Housing and Urban Affairs</v>
          </cell>
          <cell r="F25" t="str">
            <v>Ministry</v>
          </cell>
          <cell r="G25" t="str">
            <v>Water &amp; Sanitation</v>
          </cell>
          <cell r="H25" t="str">
            <v>TPI/TPA/TPE/TPQA</v>
          </cell>
        </row>
        <row r="26">
          <cell r="B26" t="str">
            <v>PP00012</v>
          </cell>
          <cell r="C26" t="str">
            <v>Jharkhand</v>
          </cell>
          <cell r="D26"/>
          <cell r="E26" t="str">
            <v>Government of Jharkhand</v>
          </cell>
          <cell r="F26" t="str">
            <v>State Govt.</v>
          </cell>
          <cell r="G26" t="str">
            <v>Water &amp; Sanitation</v>
          </cell>
          <cell r="H26" t="str">
            <v>TPI/TPA/TPE/TPQA</v>
          </cell>
        </row>
        <row r="27">
          <cell r="B27" t="str">
            <v>PP00013</v>
          </cell>
          <cell r="C27" t="str">
            <v>Pan India</v>
          </cell>
          <cell r="D27"/>
          <cell r="E27" t="str">
            <v>Ministry of Railways</v>
          </cell>
          <cell r="F27" t="str">
            <v>Ministry</v>
          </cell>
          <cell r="G27" t="str">
            <v>Water &amp; Sanitation</v>
          </cell>
          <cell r="H27" t="str">
            <v>TPI/TPA/TPE/TPQA</v>
          </cell>
        </row>
        <row r="28">
          <cell r="B28" t="str">
            <v>PP00014</v>
          </cell>
          <cell r="C28" t="str">
            <v>Telangana</v>
          </cell>
          <cell r="D28"/>
          <cell r="E28" t="str">
            <v>Government of Telangana</v>
          </cell>
          <cell r="F28" t="str">
            <v>State Govt.</v>
          </cell>
          <cell r="G28" t="str">
            <v>Water &amp; Sanitation</v>
          </cell>
          <cell r="H28" t="str">
            <v>TPI/TPA/TPE/TPQA</v>
          </cell>
        </row>
        <row r="29">
          <cell r="B29" t="str">
            <v>PP00015</v>
          </cell>
          <cell r="C29" t="str">
            <v>Gujarat</v>
          </cell>
          <cell r="D29" t="str">
            <v>Tourism Corporation of Gujarat Limited</v>
          </cell>
          <cell r="E29" t="str">
            <v>Government of Gujarat</v>
          </cell>
          <cell r="F29" t="str">
            <v>State Govt.</v>
          </cell>
          <cell r="G29" t="str">
            <v>Water &amp; Sanitation</v>
          </cell>
          <cell r="H29" t="str">
            <v>TPI/TPA/TPE/TPQA</v>
          </cell>
        </row>
        <row r="30">
          <cell r="B30" t="str">
            <v>PP00016</v>
          </cell>
          <cell r="C30" t="str">
            <v>Gujarat</v>
          </cell>
          <cell r="D30" t="str">
            <v>Tourism Corporation of Gujarat Limited</v>
          </cell>
          <cell r="E30" t="str">
            <v>Government of Gujarat</v>
          </cell>
          <cell r="F30" t="str">
            <v>State Govt.</v>
          </cell>
          <cell r="G30" t="str">
            <v>Water &amp; Sanitation</v>
          </cell>
          <cell r="H30" t="str">
            <v>TPI/TPA/TPE/TPQA</v>
          </cell>
        </row>
        <row r="31">
          <cell r="B31" t="str">
            <v>PP00017</v>
          </cell>
          <cell r="C31" t="str">
            <v>Gujarat</v>
          </cell>
          <cell r="D31" t="str">
            <v>Tourism Corporation of Gujarat Limited</v>
          </cell>
          <cell r="E31" t="str">
            <v>Government of Gujarat</v>
          </cell>
          <cell r="F31" t="str">
            <v>State Govt.</v>
          </cell>
          <cell r="G31" t="str">
            <v>Structural &amp; Utilities Management</v>
          </cell>
          <cell r="H31" t="str">
            <v>TPI/TPA/TPE/TPQA</v>
          </cell>
        </row>
        <row r="32">
          <cell r="B32" t="str">
            <v>PP00018</v>
          </cell>
          <cell r="C32" t="str">
            <v>Uttar Pradesh</v>
          </cell>
          <cell r="D32" t="str">
            <v>Department of Panchayati Raj</v>
          </cell>
          <cell r="E32" t="str">
            <v>Government of Uttar Pradesh</v>
          </cell>
          <cell r="F32" t="str">
            <v>State Govt.</v>
          </cell>
          <cell r="G32" t="str">
            <v>Water &amp; Sanitation</v>
          </cell>
          <cell r="H32" t="str">
            <v>TPI/TPA/TPE/TPQA</v>
          </cell>
        </row>
        <row r="33">
          <cell r="B33" t="str">
            <v>PP00019</v>
          </cell>
          <cell r="C33" t="str">
            <v>NCT of Delhi</v>
          </cell>
          <cell r="D33" t="str">
            <v>New Delhi Municipal Council</v>
          </cell>
          <cell r="E33" t="str">
            <v>Government of NCT of Delhi</v>
          </cell>
          <cell r="F33" t="str">
            <v>State Govt.</v>
          </cell>
          <cell r="G33" t="str">
            <v>Water &amp; Sanitation</v>
          </cell>
          <cell r="H33" t="str">
            <v>TPI/TPA/TPE/TPQA</v>
          </cell>
        </row>
        <row r="34">
          <cell r="B34" t="str">
            <v>PP00020</v>
          </cell>
          <cell r="C34" t="str">
            <v>Pan India</v>
          </cell>
          <cell r="D34"/>
          <cell r="E34" t="str">
            <v>Ministry of Housing and Urban Affairs</v>
          </cell>
          <cell r="F34" t="str">
            <v>Ministry</v>
          </cell>
          <cell r="G34" t="str">
            <v>Governanace, Administration &amp; Digital Infrastructure</v>
          </cell>
          <cell r="H34" t="str">
            <v>Capacity building &amp; Impact Assessment</v>
          </cell>
        </row>
        <row r="35">
          <cell r="B35" t="str">
            <v>PP00021</v>
          </cell>
          <cell r="C35" t="str">
            <v>Pan India</v>
          </cell>
          <cell r="D35"/>
          <cell r="E35" t="str">
            <v>Ministry of Power</v>
          </cell>
          <cell r="F35" t="str">
            <v>Ministry</v>
          </cell>
          <cell r="G35" t="str">
            <v>Structural &amp; Utilities Management</v>
          </cell>
          <cell r="H35" t="str">
            <v>TPI/TPA/TPE/TPQA</v>
          </cell>
        </row>
        <row r="36">
          <cell r="B36" t="str">
            <v>PP00022</v>
          </cell>
          <cell r="C36" t="str">
            <v>Pan India</v>
          </cell>
          <cell r="D36"/>
          <cell r="E36" t="str">
            <v>Ministry of Power</v>
          </cell>
          <cell r="F36" t="str">
            <v>Ministry</v>
          </cell>
          <cell r="G36" t="str">
            <v>Structural &amp; Utilities Management</v>
          </cell>
          <cell r="H36" t="str">
            <v>TPI/TPA/TPE/TPQA</v>
          </cell>
        </row>
        <row r="37">
          <cell r="B37" t="str">
            <v>PP00023</v>
          </cell>
          <cell r="C37" t="str">
            <v>Pan India</v>
          </cell>
          <cell r="D37"/>
          <cell r="E37" t="str">
            <v>Ministry of Petroleum and Natural Gas</v>
          </cell>
          <cell r="F37" t="str">
            <v>Ministry</v>
          </cell>
          <cell r="G37" t="str">
            <v>Governanace, Administration &amp; Digital Infrastructure</v>
          </cell>
          <cell r="H37" t="str">
            <v>PMU/PMC</v>
          </cell>
        </row>
        <row r="38">
          <cell r="B38" t="str">
            <v>PP00024</v>
          </cell>
          <cell r="C38" t="str">
            <v>Pan India</v>
          </cell>
          <cell r="D38"/>
          <cell r="E38" t="str">
            <v>Department of Administrative Reforms and Public Grievances</v>
          </cell>
          <cell r="F38" t="str">
            <v>Ministry</v>
          </cell>
          <cell r="G38" t="str">
            <v>Governanace, Administration &amp; Digital Infrastructure</v>
          </cell>
          <cell r="H38" t="str">
            <v>Capacity building &amp; Impact Assessment</v>
          </cell>
        </row>
        <row r="39">
          <cell r="B39" t="str">
            <v>PP00025</v>
          </cell>
          <cell r="C39" t="str">
            <v>Pan India</v>
          </cell>
          <cell r="D39"/>
          <cell r="E39" t="str">
            <v>Department of Administrative Reforms and Public Grievances</v>
          </cell>
          <cell r="F39" t="str">
            <v>Ministry</v>
          </cell>
          <cell r="G39" t="str">
            <v>Governanace, Administration &amp; Digital Infrastructure</v>
          </cell>
          <cell r="H39" t="str">
            <v>PMU/PMC</v>
          </cell>
        </row>
        <row r="40">
          <cell r="B40" t="str">
            <v>PP00026</v>
          </cell>
          <cell r="C40" t="str">
            <v>Pan India</v>
          </cell>
          <cell r="D40"/>
          <cell r="E40" t="str">
            <v>Department of Administrative Reforms and Public Grievances</v>
          </cell>
          <cell r="F40" t="str">
            <v>Ministry</v>
          </cell>
          <cell r="G40" t="str">
            <v>Governanace, Administration &amp; Digital Infrastructure</v>
          </cell>
          <cell r="H40" t="str">
            <v>Capacity building &amp; Impact Assessment</v>
          </cell>
        </row>
        <row r="41">
          <cell r="B41" t="str">
            <v>PP00027</v>
          </cell>
          <cell r="C41" t="str">
            <v>Pan India</v>
          </cell>
          <cell r="D41"/>
          <cell r="E41" t="str">
            <v>Ministry of Road Transport and Highways</v>
          </cell>
          <cell r="F41" t="str">
            <v>Ministry</v>
          </cell>
          <cell r="G41" t="str">
            <v>Governanace, Administration &amp; Digital Infrastructure</v>
          </cell>
          <cell r="H41" t="str">
            <v>TPI/TPA/TPE/TPQA</v>
          </cell>
        </row>
        <row r="42">
          <cell r="B42" t="str">
            <v>PP00028</v>
          </cell>
          <cell r="C42" t="str">
            <v>Pan India</v>
          </cell>
          <cell r="D42"/>
          <cell r="E42" t="str">
            <v>Ministry of Road Transport and Highways</v>
          </cell>
          <cell r="F42" t="str">
            <v>Ministry</v>
          </cell>
          <cell r="G42" t="str">
            <v>Governanace, Administration &amp; Digital Infrastructure</v>
          </cell>
          <cell r="H42" t="str">
            <v>Capacity building &amp; Impact Assessment</v>
          </cell>
        </row>
        <row r="43">
          <cell r="B43" t="str">
            <v>PP00029</v>
          </cell>
          <cell r="C43" t="str">
            <v>Pan India</v>
          </cell>
          <cell r="D43"/>
          <cell r="E43" t="str">
            <v>Ministry of Tourism</v>
          </cell>
          <cell r="F43" t="str">
            <v>Ministry</v>
          </cell>
          <cell r="G43" t="str">
            <v>Financial Mgmt, Policy Analysis &amp; Research</v>
          </cell>
          <cell r="H43" t="str">
            <v>TPI/TPA/TPE/TPQA</v>
          </cell>
        </row>
        <row r="44">
          <cell r="B44" t="str">
            <v>PP00030</v>
          </cell>
          <cell r="C44" t="str">
            <v>Pan India</v>
          </cell>
          <cell r="D44"/>
          <cell r="E44" t="str">
            <v>Airports Authority of India</v>
          </cell>
          <cell r="F44" t="str">
            <v>Ministry</v>
          </cell>
          <cell r="G44" t="str">
            <v>Structural &amp; Utilities Management</v>
          </cell>
          <cell r="H44" t="str">
            <v>Capacity building &amp; Impact Assessment</v>
          </cell>
        </row>
        <row r="45">
          <cell r="B45" t="str">
            <v>PP00031</v>
          </cell>
          <cell r="C45" t="str">
            <v>Uttar Pradesh</v>
          </cell>
          <cell r="D45"/>
          <cell r="E45" t="str">
            <v>Ministry of Social Justice and Empowerment</v>
          </cell>
          <cell r="F45" t="str">
            <v>Ministry</v>
          </cell>
          <cell r="G45" t="str">
            <v>Social Welfare, Education &amp; Skill Development</v>
          </cell>
          <cell r="H45" t="str">
            <v>TPI/TPA/TPE/TPQA</v>
          </cell>
        </row>
        <row r="46">
          <cell r="B46" t="str">
            <v>PP00032</v>
          </cell>
          <cell r="C46" t="str">
            <v>Uttar Pradesh</v>
          </cell>
          <cell r="D46"/>
          <cell r="E46" t="str">
            <v>Government of Uttar Pradesh</v>
          </cell>
          <cell r="F46" t="str">
            <v>State Govt.</v>
          </cell>
          <cell r="G46" t="str">
            <v>Structural &amp; Utilities Management</v>
          </cell>
          <cell r="H46" t="str">
            <v>TPI/TPA/TPE/TPQA</v>
          </cell>
        </row>
        <row r="47">
          <cell r="B47" t="str">
            <v>PP00033</v>
          </cell>
          <cell r="C47" t="str">
            <v>Pan India</v>
          </cell>
          <cell r="D47" t="str">
            <v>Employees' State Insurance Corporation (ESIC)</v>
          </cell>
          <cell r="E47" t="str">
            <v>Ministry of Labour and Employement</v>
          </cell>
          <cell r="F47" t="str">
            <v>Ministry</v>
          </cell>
          <cell r="G47" t="str">
            <v>Structural &amp; Utilities Management</v>
          </cell>
          <cell r="H47" t="str">
            <v>TPI/TPA/TPE/TPQA</v>
          </cell>
        </row>
        <row r="48">
          <cell r="B48" t="str">
            <v>PP00034</v>
          </cell>
          <cell r="C48" t="str">
            <v>NCT of Delhi</v>
          </cell>
          <cell r="D48" t="str">
            <v>Delhi Police</v>
          </cell>
          <cell r="E48" t="str">
            <v>Government of NCT of Delhi</v>
          </cell>
          <cell r="F48" t="str">
            <v>State Govt.</v>
          </cell>
          <cell r="G48" t="str">
            <v>Governanace, Administration &amp; Digital Infrastructure</v>
          </cell>
          <cell r="H48" t="str">
            <v>TPI/TPA/TPE/TPQA</v>
          </cell>
        </row>
        <row r="49">
          <cell r="B49" t="str">
            <v>PP00035</v>
          </cell>
          <cell r="C49" t="str">
            <v>Pan India</v>
          </cell>
          <cell r="D49"/>
          <cell r="E49" t="str">
            <v>Ministry of Home Affairs</v>
          </cell>
          <cell r="F49" t="str">
            <v>Ministry</v>
          </cell>
          <cell r="G49" t="str">
            <v>Governanace, Administration &amp; Digital Infrastructure</v>
          </cell>
          <cell r="H49" t="str">
            <v>TPI/TPA/TPE/TPQA</v>
          </cell>
        </row>
        <row r="50">
          <cell r="B50" t="str">
            <v>PP00036</v>
          </cell>
          <cell r="C50" t="str">
            <v>Rajasthan</v>
          </cell>
          <cell r="D50"/>
          <cell r="E50" t="str">
            <v>National Agricultural Cooperative Marketing Federation Of India Limited</v>
          </cell>
          <cell r="F50" t="str">
            <v>Ministry</v>
          </cell>
          <cell r="G50" t="str">
            <v>Agriculture, Food Processing &amp; Supply Chain</v>
          </cell>
          <cell r="H50" t="str">
            <v>TPI/TPA/TPE/TPQA</v>
          </cell>
        </row>
        <row r="51">
          <cell r="B51" t="str">
            <v>PP00037</v>
          </cell>
          <cell r="C51" t="str">
            <v>Pan India</v>
          </cell>
          <cell r="D51" t="str">
            <v>Government e-Marketplace</v>
          </cell>
          <cell r="E51" t="str">
            <v>Department for Promotion of Industry and Internal Trade</v>
          </cell>
          <cell r="F51" t="str">
            <v>Ministry</v>
          </cell>
          <cell r="G51" t="str">
            <v>Financial Mgmt, Policy Analysis &amp; Research</v>
          </cell>
          <cell r="H51" t="str">
            <v>Capacity building &amp; Impact Assessment</v>
          </cell>
        </row>
        <row r="52">
          <cell r="B52" t="str">
            <v>PP00038</v>
          </cell>
          <cell r="C52" t="str">
            <v>Pan India</v>
          </cell>
          <cell r="D52"/>
          <cell r="E52" t="str">
            <v>Department for Promotion of Industry and Internal Trade</v>
          </cell>
          <cell r="F52" t="str">
            <v>Ministry</v>
          </cell>
          <cell r="G52" t="str">
            <v>Financial Mgmt, Policy Analysis &amp; Research</v>
          </cell>
          <cell r="H52" t="str">
            <v>TPI/TPA/TPE/TPQA</v>
          </cell>
        </row>
        <row r="53">
          <cell r="B53" t="str">
            <v>PP00039</v>
          </cell>
          <cell r="C53" t="str">
            <v>Pan India</v>
          </cell>
          <cell r="D53"/>
          <cell r="E53" t="str">
            <v>National Commission for Protection of Child Rights</v>
          </cell>
          <cell r="F53" t="str">
            <v>Ministry</v>
          </cell>
          <cell r="G53" t="str">
            <v>Governanace, Administration &amp; Digital Infrastructure</v>
          </cell>
          <cell r="H53" t="str">
            <v>TPI/TPA/TPE/TPQA</v>
          </cell>
        </row>
        <row r="54">
          <cell r="B54" t="str">
            <v>PP00040</v>
          </cell>
          <cell r="C54" t="str">
            <v>Pan India</v>
          </cell>
          <cell r="D54"/>
          <cell r="E54" t="str">
            <v>The Energy and Resources Institute</v>
          </cell>
          <cell r="F54" t="str">
            <v>University</v>
          </cell>
          <cell r="G54" t="str">
            <v>Financial Mgmt, Policy Analysis &amp; Research</v>
          </cell>
          <cell r="H54" t="str">
            <v>TPI/TPA/TPE/TPQA</v>
          </cell>
        </row>
        <row r="55">
          <cell r="B55" t="str">
            <v>PP00041</v>
          </cell>
          <cell r="C55" t="str">
            <v>Pan India</v>
          </cell>
          <cell r="D55"/>
          <cell r="E55" t="str">
            <v>Ministry of Housing and Urban Affairs</v>
          </cell>
          <cell r="F55" t="str">
            <v>Ministry</v>
          </cell>
          <cell r="G55" t="str">
            <v>Structural &amp; Utilities Management</v>
          </cell>
          <cell r="H55" t="str">
            <v>TPI/TPA/TPE/TPQA</v>
          </cell>
        </row>
        <row r="56">
          <cell r="B56" t="str">
            <v>PP00042</v>
          </cell>
          <cell r="C56" t="str">
            <v>Pan India</v>
          </cell>
          <cell r="D56" t="str">
            <v>Confidential</v>
          </cell>
          <cell r="E56"/>
          <cell r="F56" t="str">
            <v>Ministry</v>
          </cell>
          <cell r="G56" t="str">
            <v>Others</v>
          </cell>
          <cell r="H56" t="str">
            <v>Others</v>
          </cell>
        </row>
        <row r="57">
          <cell r="B57" t="str">
            <v>PP00043</v>
          </cell>
          <cell r="C57" t="str">
            <v>Pan India</v>
          </cell>
          <cell r="D57"/>
          <cell r="E57" t="str">
            <v>Ministry of Petroleum and Natural Gas</v>
          </cell>
          <cell r="F57" t="str">
            <v>Ministry</v>
          </cell>
          <cell r="G57" t="str">
            <v>Mining &amp; Metallurgy</v>
          </cell>
          <cell r="H57" t="str">
            <v>TPI/TPA/TPE/TPQA</v>
          </cell>
        </row>
        <row r="58">
          <cell r="B58" t="str">
            <v>PP00044</v>
          </cell>
          <cell r="C58" t="str">
            <v>Pan India</v>
          </cell>
          <cell r="D58"/>
          <cell r="E58" t="str">
            <v>Ministry of Ports, Shipping and Waterways</v>
          </cell>
          <cell r="F58" t="str">
            <v>Ministry</v>
          </cell>
          <cell r="G58" t="str">
            <v>Water &amp; Sanitation</v>
          </cell>
          <cell r="H58" t="str">
            <v>TPI/TPA/TPE/TPQA</v>
          </cell>
        </row>
        <row r="59">
          <cell r="B59" t="str">
            <v>PP00045</v>
          </cell>
          <cell r="C59" t="str">
            <v>Pan India</v>
          </cell>
          <cell r="D59"/>
          <cell r="E59" t="str">
            <v>Ministry of Power</v>
          </cell>
          <cell r="F59" t="str">
            <v>Ministry</v>
          </cell>
          <cell r="G59" t="str">
            <v>Structural &amp; Utilities Management</v>
          </cell>
          <cell r="H59" t="str">
            <v>TPI/TPA/TPE/TPQA</v>
          </cell>
        </row>
        <row r="60">
          <cell r="B60" t="str">
            <v>PP00046</v>
          </cell>
          <cell r="C60" t="str">
            <v>Pan India</v>
          </cell>
          <cell r="D60"/>
          <cell r="E60" t="str">
            <v>Ministry of Tribal Affairs</v>
          </cell>
          <cell r="F60" t="str">
            <v>Ministry</v>
          </cell>
          <cell r="G60" t="str">
            <v>Governanace, Administration &amp; Digital Infrastructure</v>
          </cell>
          <cell r="H60" t="str">
            <v>PMU/PMC</v>
          </cell>
        </row>
        <row r="61">
          <cell r="B61" t="str">
            <v>PP00047</v>
          </cell>
          <cell r="C61" t="str">
            <v>Pan India</v>
          </cell>
          <cell r="D61" t="str">
            <v>National Health Authority</v>
          </cell>
          <cell r="E61" t="str">
            <v>Ministry of Health and Family Welfare</v>
          </cell>
          <cell r="F61" t="str">
            <v>Ministry</v>
          </cell>
          <cell r="G61" t="str">
            <v>Governanace, Administration &amp; Digital Infrastructure</v>
          </cell>
          <cell r="H61" t="str">
            <v>TPI/TPA/TPE/TPQA</v>
          </cell>
        </row>
        <row r="62">
          <cell r="B62" t="str">
            <v>PP00048</v>
          </cell>
          <cell r="C62" t="str">
            <v>Pan India</v>
          </cell>
          <cell r="D62"/>
          <cell r="E62" t="str">
            <v>Ministry of Finance</v>
          </cell>
          <cell r="F62" t="str">
            <v>Ministry</v>
          </cell>
          <cell r="G62" t="str">
            <v>Financial Mgmt, Policy Analysis &amp; Research</v>
          </cell>
          <cell r="H62" t="str">
            <v>Capacity building &amp; Impact Assessment</v>
          </cell>
        </row>
        <row r="63">
          <cell r="B63" t="str">
            <v>PP00049</v>
          </cell>
          <cell r="C63" t="str">
            <v>Pan India</v>
          </cell>
          <cell r="D63"/>
          <cell r="E63" t="str">
            <v>Department of Administrative Reforms and Public Grievances</v>
          </cell>
          <cell r="F63" t="str">
            <v>Ministry</v>
          </cell>
          <cell r="G63" t="str">
            <v>Governanace, Administration &amp; Digital Infrastructure</v>
          </cell>
          <cell r="H63" t="str">
            <v>Capacity building &amp; Impact Assessment</v>
          </cell>
        </row>
        <row r="64">
          <cell r="B64" t="str">
            <v>PP00050</v>
          </cell>
          <cell r="C64" t="str">
            <v>Pan India</v>
          </cell>
          <cell r="D64"/>
          <cell r="E64" t="str">
            <v>Ministry of Rural Development</v>
          </cell>
          <cell r="F64" t="str">
            <v>Ministry</v>
          </cell>
          <cell r="G64" t="str">
            <v>Social Welfare, Education &amp; Skill Development</v>
          </cell>
          <cell r="H64" t="str">
            <v>TPI/TPA/TPE/TPQA</v>
          </cell>
        </row>
        <row r="65">
          <cell r="B65" t="str">
            <v>PP00051</v>
          </cell>
          <cell r="C65" t="str">
            <v>Kerala, Nagaland, Assam</v>
          </cell>
          <cell r="D65"/>
          <cell r="E65" t="str">
            <v>Government of Kerala, Government of Nagaland, Government of Assam</v>
          </cell>
          <cell r="F65" t="str">
            <v>State Govt.</v>
          </cell>
          <cell r="G65" t="str">
            <v>Water &amp; Sanitation</v>
          </cell>
          <cell r="H65" t="str">
            <v>Capacity building &amp; Impact Assessment</v>
          </cell>
        </row>
        <row r="66">
          <cell r="B66" t="str">
            <v>PP00052</v>
          </cell>
          <cell r="C66" t="str">
            <v>Goa</v>
          </cell>
          <cell r="D66" t="str">
            <v>Food and Drugs Authority</v>
          </cell>
          <cell r="E66" t="str">
            <v>Government of Goa</v>
          </cell>
          <cell r="F66" t="str">
            <v>State Govt.</v>
          </cell>
          <cell r="G66" t="str">
            <v>Agriculture, Food Processing &amp; Supply Chain</v>
          </cell>
          <cell r="H66" t="str">
            <v>TPI/TPA/TPE/TPQA</v>
          </cell>
        </row>
        <row r="67">
          <cell r="B67" t="str">
            <v>PP00053</v>
          </cell>
          <cell r="C67" t="str">
            <v>Pan India</v>
          </cell>
          <cell r="D67" t="str">
            <v>SEMBCORP</v>
          </cell>
          <cell r="E67"/>
          <cell r="F67" t="str">
            <v>Corporate</v>
          </cell>
          <cell r="G67" t="str">
            <v>Mining &amp; Metallurgy</v>
          </cell>
          <cell r="H67" t="str">
            <v>TPI/TPA/TPE/TPQA</v>
          </cell>
        </row>
        <row r="68">
          <cell r="B68" t="str">
            <v>PP00054</v>
          </cell>
          <cell r="C68" t="str">
            <v>Pan India</v>
          </cell>
          <cell r="D68" t="str">
            <v>Confidential</v>
          </cell>
          <cell r="E68"/>
          <cell r="F68" t="str">
            <v>Ministry</v>
          </cell>
          <cell r="G68" t="str">
            <v>Others</v>
          </cell>
          <cell r="H68" t="str">
            <v>Others</v>
          </cell>
        </row>
        <row r="69">
          <cell r="B69" t="str">
            <v>PP00055</v>
          </cell>
          <cell r="C69" t="str">
            <v>Pan India</v>
          </cell>
          <cell r="D69" t="str">
            <v>Government e-Marketplace</v>
          </cell>
          <cell r="E69" t="str">
            <v>Department for Promotion of Industry and Internal Trade</v>
          </cell>
          <cell r="F69" t="str">
            <v>Ministry</v>
          </cell>
          <cell r="G69" t="str">
            <v>Financial Mgmt, Policy Analysis &amp; Research</v>
          </cell>
          <cell r="H69" t="str">
            <v>TPI/TPA/TPE/TPQA</v>
          </cell>
        </row>
        <row r="70">
          <cell r="B70" t="str">
            <v>PP00056</v>
          </cell>
          <cell r="C70" t="str">
            <v>Pan India</v>
          </cell>
          <cell r="D70"/>
          <cell r="E70" t="str">
            <v>Ministry of Health and Family Welfare</v>
          </cell>
          <cell r="F70" t="str">
            <v>Ministry</v>
          </cell>
          <cell r="G70" t="str">
            <v>Governanace, Administration &amp; Digital Infrastructure</v>
          </cell>
          <cell r="H70" t="str">
            <v>TPI/TPA/TPE/TPQA</v>
          </cell>
        </row>
        <row r="71">
          <cell r="B71" t="str">
            <v>PP00057</v>
          </cell>
          <cell r="C71" t="str">
            <v>Pan India</v>
          </cell>
          <cell r="D71"/>
          <cell r="E71" t="str">
            <v>NITI Aayog</v>
          </cell>
          <cell r="F71" t="str">
            <v>Ministry</v>
          </cell>
          <cell r="G71" t="str">
            <v>Social Welfare, Education &amp; Skill Development</v>
          </cell>
          <cell r="H71" t="str">
            <v>TPI/TPA/TPE/TPQA</v>
          </cell>
        </row>
        <row r="72">
          <cell r="B72" t="str">
            <v>PP00058</v>
          </cell>
          <cell r="C72" t="str">
            <v>Pan India</v>
          </cell>
          <cell r="D72"/>
          <cell r="E72" t="str">
            <v>Ministry of Railways</v>
          </cell>
          <cell r="F72" t="str">
            <v>Ministry</v>
          </cell>
          <cell r="G72" t="str">
            <v>Water &amp; Sanitation</v>
          </cell>
          <cell r="H72" t="str">
            <v>TPI/TPA/TPE/TPQA</v>
          </cell>
        </row>
        <row r="73">
          <cell r="B73" t="str">
            <v>PP00059</v>
          </cell>
          <cell r="C73" t="str">
            <v>Pan India</v>
          </cell>
          <cell r="D73"/>
          <cell r="E73" t="str">
            <v>Ministry of Road Transport and Highways</v>
          </cell>
          <cell r="F73" t="str">
            <v>Ministry</v>
          </cell>
          <cell r="G73" t="str">
            <v>Governanace, Administration &amp; Digital Infrastructure</v>
          </cell>
          <cell r="H73" t="str">
            <v>Capacity building &amp; Impact Assessment</v>
          </cell>
        </row>
        <row r="74">
          <cell r="B74" t="str">
            <v>PP00060</v>
          </cell>
          <cell r="C74" t="str">
            <v>Uttar Pradesh</v>
          </cell>
          <cell r="D74"/>
          <cell r="E74" t="str">
            <v>Government of Uttar Pradesh</v>
          </cell>
          <cell r="F74" t="str">
            <v>State Govt.</v>
          </cell>
          <cell r="G74" t="str">
            <v>Water &amp; Sanitation</v>
          </cell>
          <cell r="H74" t="str">
            <v>TPI/TPA/TPE/TPQA</v>
          </cell>
        </row>
        <row r="75">
          <cell r="B75" t="str">
            <v>PP00061</v>
          </cell>
          <cell r="C75" t="str">
            <v>Maharashtra</v>
          </cell>
          <cell r="D75"/>
          <cell r="E75" t="str">
            <v>Government of Maharashtra</v>
          </cell>
          <cell r="F75" t="str">
            <v>State Govt.</v>
          </cell>
          <cell r="G75" t="str">
            <v>Water &amp; Sanitation</v>
          </cell>
          <cell r="H75" t="str">
            <v>TPI/TPA/TPE/TPQA</v>
          </cell>
        </row>
        <row r="76">
          <cell r="B76" t="str">
            <v>PP00062</v>
          </cell>
          <cell r="C76" t="str">
            <v>Haryana</v>
          </cell>
          <cell r="D76"/>
          <cell r="E76" t="str">
            <v>Government of Haryana</v>
          </cell>
          <cell r="F76" t="str">
            <v>State Govt.</v>
          </cell>
          <cell r="G76" t="str">
            <v>Water &amp; Sanitation</v>
          </cell>
          <cell r="H76" t="str">
            <v>TPI/TPA/TPE/TPQA</v>
          </cell>
        </row>
        <row r="77">
          <cell r="B77" t="str">
            <v>PP00063</v>
          </cell>
          <cell r="C77" t="str">
            <v>Pan India</v>
          </cell>
          <cell r="D77" t="str">
            <v>Confidential</v>
          </cell>
          <cell r="E77"/>
          <cell r="F77" t="str">
            <v>Ministry</v>
          </cell>
          <cell r="G77" t="str">
            <v>Others</v>
          </cell>
          <cell r="H77" t="str">
            <v>Others</v>
          </cell>
        </row>
        <row r="78">
          <cell r="B78" t="str">
            <v>PP00064</v>
          </cell>
          <cell r="C78" t="str">
            <v>Pan India</v>
          </cell>
          <cell r="D78" t="str">
            <v>Comptrollor and Auditor General of India</v>
          </cell>
          <cell r="E78"/>
          <cell r="F78" t="str">
            <v>Ministry</v>
          </cell>
          <cell r="G78" t="str">
            <v>Financial Mgmt, Policy Analysis &amp; Research</v>
          </cell>
          <cell r="H78" t="str">
            <v>PMU/PMC</v>
          </cell>
        </row>
        <row r="79">
          <cell r="B79" t="str">
            <v>PP00065</v>
          </cell>
          <cell r="C79" t="str">
            <v>Pan India</v>
          </cell>
          <cell r="D79"/>
          <cell r="E79" t="str">
            <v>Department for Promotion of Industry and Internal Trade</v>
          </cell>
          <cell r="F79" t="str">
            <v>Ministry</v>
          </cell>
          <cell r="G79" t="str">
            <v>Others</v>
          </cell>
          <cell r="H79" t="str">
            <v>TPI/TPA/TPE/TPQA</v>
          </cell>
        </row>
        <row r="80">
          <cell r="B80" t="str">
            <v>PP00066</v>
          </cell>
          <cell r="C80" t="str">
            <v>Pan India</v>
          </cell>
          <cell r="D80"/>
          <cell r="E80" t="str">
            <v>Ministry of Finance</v>
          </cell>
          <cell r="F80" t="str">
            <v>Ministry</v>
          </cell>
          <cell r="G80" t="str">
            <v>Financial Mgmt, Policy Analysis &amp; Research</v>
          </cell>
          <cell r="H80" t="str">
            <v>Capacity building &amp; Impact Assessment</v>
          </cell>
        </row>
        <row r="81">
          <cell r="B81" t="str">
            <v>PP00067</v>
          </cell>
          <cell r="C81" t="str">
            <v>Pan India</v>
          </cell>
          <cell r="D81"/>
          <cell r="E81" t="str">
            <v>NITI Aayog</v>
          </cell>
          <cell r="F81" t="str">
            <v>Ministry</v>
          </cell>
          <cell r="G81" t="str">
            <v>Financial Mgmt, Policy Analysis &amp; Research</v>
          </cell>
          <cell r="H81" t="str">
            <v>Capacity building &amp; Impact Assessment</v>
          </cell>
        </row>
        <row r="82">
          <cell r="B82" t="str">
            <v>PP00068</v>
          </cell>
          <cell r="C82" t="str">
            <v>Pan India</v>
          </cell>
          <cell r="D82"/>
          <cell r="E82" t="str">
            <v>Ministry of Human Resource Development</v>
          </cell>
          <cell r="F82" t="str">
            <v>Ministry</v>
          </cell>
          <cell r="G82" t="str">
            <v>Social Welfare, Education &amp; Skill Development</v>
          </cell>
          <cell r="H82" t="str">
            <v>TPI/TPA/TPE/TPQA</v>
          </cell>
        </row>
        <row r="83">
          <cell r="B83" t="str">
            <v>PP00069</v>
          </cell>
          <cell r="C83" t="str">
            <v>Pan India</v>
          </cell>
          <cell r="D83"/>
          <cell r="E83" t="str">
            <v>Ministry of Human Resource Development</v>
          </cell>
          <cell r="F83" t="str">
            <v>Ministry</v>
          </cell>
          <cell r="G83" t="str">
            <v>Structural &amp; Utilities Management</v>
          </cell>
          <cell r="H83" t="str">
            <v>TPI/TPA/TPE/TPQA</v>
          </cell>
        </row>
        <row r="84">
          <cell r="B84" t="str">
            <v>PP00070</v>
          </cell>
          <cell r="C84" t="str">
            <v>Uttar Pradesh</v>
          </cell>
          <cell r="D84"/>
          <cell r="E84" t="str">
            <v>LAPL</v>
          </cell>
          <cell r="F84" t="str">
            <v>Corporate</v>
          </cell>
          <cell r="G84" t="str">
            <v>Mining &amp; Metallurgy</v>
          </cell>
          <cell r="H84" t="str">
            <v>TPI/TPA/TPE/TPQA</v>
          </cell>
        </row>
        <row r="85">
          <cell r="B85" t="str">
            <v>PP00071</v>
          </cell>
          <cell r="C85" t="str">
            <v>Pan India</v>
          </cell>
          <cell r="D85"/>
          <cell r="E85" t="str">
            <v>Ministry of Housing and Urban Affairs</v>
          </cell>
          <cell r="F85" t="str">
            <v>Ministry</v>
          </cell>
          <cell r="G85" t="str">
            <v>Water &amp; Sanitation</v>
          </cell>
          <cell r="H85" t="str">
            <v>Capacity building &amp; Impact Assessment</v>
          </cell>
        </row>
        <row r="86">
          <cell r="B86" t="str">
            <v>PP00072</v>
          </cell>
          <cell r="C86" t="str">
            <v>Pan India</v>
          </cell>
          <cell r="D86"/>
          <cell r="E86" t="str">
            <v>Ministry of Housing and Urban Affairs</v>
          </cell>
          <cell r="F86" t="str">
            <v>Ministry</v>
          </cell>
          <cell r="G86" t="str">
            <v>Governanace, Administration &amp; Digital Infrastructure</v>
          </cell>
          <cell r="H86" t="str">
            <v>Capacity building &amp; Impact Assessment</v>
          </cell>
        </row>
        <row r="87">
          <cell r="B87" t="str">
            <v>PP00073</v>
          </cell>
          <cell r="C87" t="str">
            <v>Pan India</v>
          </cell>
          <cell r="D87"/>
          <cell r="E87" t="str">
            <v>Ministry of Finance</v>
          </cell>
          <cell r="F87" t="str">
            <v>Ministry</v>
          </cell>
          <cell r="G87" t="str">
            <v>Financial Mgmt, Policy Analysis &amp; Research</v>
          </cell>
          <cell r="H87" t="str">
            <v>Capacity building &amp; Impact Assessment</v>
          </cell>
        </row>
        <row r="88">
          <cell r="B88" t="str">
            <v>PP00074</v>
          </cell>
          <cell r="C88" t="str">
            <v>Pan India</v>
          </cell>
          <cell r="D88" t="str">
            <v>National Mission for Clean Ganga</v>
          </cell>
          <cell r="E88" t="str">
            <v>Ministry of Jal Shakti</v>
          </cell>
          <cell r="F88" t="str">
            <v>Ministry</v>
          </cell>
          <cell r="G88" t="str">
            <v>Water &amp; Sanitation</v>
          </cell>
          <cell r="H88" t="str">
            <v>TPI/TPA/TPE/TPQA</v>
          </cell>
        </row>
        <row r="89">
          <cell r="B89" t="str">
            <v>PP00075</v>
          </cell>
          <cell r="C89" t="str">
            <v>Pan India</v>
          </cell>
          <cell r="D89" t="str">
            <v>Confidential</v>
          </cell>
          <cell r="E89"/>
          <cell r="F89" t="str">
            <v>Ministry</v>
          </cell>
          <cell r="G89" t="str">
            <v>Others</v>
          </cell>
          <cell r="H89" t="str">
            <v>Others</v>
          </cell>
        </row>
        <row r="90">
          <cell r="B90" t="str">
            <v>PP00075/ PB00006</v>
          </cell>
          <cell r="C90" t="str">
            <v>Pan India</v>
          </cell>
          <cell r="D90"/>
          <cell r="E90"/>
          <cell r="F90"/>
          <cell r="G90" t="str">
            <v>Financial Mgmt, Policy Analysis &amp; Research</v>
          </cell>
          <cell r="H90" t="str">
            <v>Capacity building &amp; Impact Assessment</v>
          </cell>
        </row>
        <row r="91">
          <cell r="B91" t="str">
            <v>PP00076</v>
          </cell>
          <cell r="C91" t="str">
            <v>Pan India</v>
          </cell>
          <cell r="D91"/>
          <cell r="E91" t="str">
            <v>Ministry of Home Affairs</v>
          </cell>
          <cell r="F91" t="str">
            <v>Ministry</v>
          </cell>
          <cell r="G91" t="str">
            <v>Financial Mgmt, Policy Analysis &amp; Research</v>
          </cell>
          <cell r="H91" t="str">
            <v>Capacity building &amp; Impact Assessment</v>
          </cell>
        </row>
        <row r="92">
          <cell r="B92" t="str">
            <v>PP00077</v>
          </cell>
          <cell r="C92" t="str">
            <v>Pan India</v>
          </cell>
          <cell r="D92"/>
          <cell r="E92" t="str">
            <v>Ministry of Tourism</v>
          </cell>
          <cell r="F92" t="str">
            <v>Ministry</v>
          </cell>
          <cell r="G92" t="str">
            <v>Arts, Culture &amp; Tourism</v>
          </cell>
          <cell r="H92" t="str">
            <v>PMU/PMC</v>
          </cell>
        </row>
        <row r="93">
          <cell r="B93" t="str">
            <v>PP00078</v>
          </cell>
          <cell r="C93" t="str">
            <v>Pan India</v>
          </cell>
          <cell r="D93"/>
          <cell r="E93" t="str">
            <v>Ministry of Commerce and Industry &amp; Others</v>
          </cell>
          <cell r="F93" t="str">
            <v>Ministry</v>
          </cell>
          <cell r="G93" t="str">
            <v>Governanace, Administration &amp; Digital Infrastructure</v>
          </cell>
          <cell r="H93" t="str">
            <v>Capacity building &amp; Impact Assessment</v>
          </cell>
        </row>
        <row r="94">
          <cell r="B94" t="str">
            <v>PP00079</v>
          </cell>
          <cell r="C94" t="str">
            <v>Pan India</v>
          </cell>
          <cell r="D94" t="str">
            <v>Defence Research and Developmenr Organisation</v>
          </cell>
          <cell r="E94" t="str">
            <v>Ministry of Defence</v>
          </cell>
          <cell r="F94" t="str">
            <v>Ministry</v>
          </cell>
          <cell r="G94" t="str">
            <v>Governanace, Administration &amp; Digital Infrastructure</v>
          </cell>
          <cell r="H94" t="str">
            <v>TPI/TPA/TPE/TPQA</v>
          </cell>
        </row>
        <row r="95">
          <cell r="B95" t="str">
            <v>PP00080</v>
          </cell>
          <cell r="C95" t="str">
            <v>Pan India</v>
          </cell>
          <cell r="D95" t="str">
            <v>Department for Promotion of Industry and Internal Trade &amp; Director General of Foreign Trade</v>
          </cell>
          <cell r="E95" t="str">
            <v>Ministry of Commerce and Industry</v>
          </cell>
          <cell r="F95" t="str">
            <v>Ministry</v>
          </cell>
          <cell r="G95" t="str">
            <v>Structural &amp; Utilities Management</v>
          </cell>
          <cell r="H95" t="str">
            <v>TPI/TPA/TPE/TPQA</v>
          </cell>
        </row>
        <row r="96">
          <cell r="B96" t="str">
            <v>PP00081</v>
          </cell>
          <cell r="C96" t="str">
            <v>Pan India</v>
          </cell>
          <cell r="D96"/>
          <cell r="E96" t="str">
            <v>Department for Promotion of Industry and Internal Trade</v>
          </cell>
          <cell r="F96" t="str">
            <v>Ministry</v>
          </cell>
          <cell r="G96" t="str">
            <v>Governanace, Administration &amp; Digital Infrastructure</v>
          </cell>
          <cell r="H96" t="str">
            <v>Capacity building &amp; Impact Assessment</v>
          </cell>
        </row>
        <row r="97">
          <cell r="B97" t="str">
            <v>PP00082</v>
          </cell>
          <cell r="C97" t="str">
            <v>Pan India</v>
          </cell>
          <cell r="D97"/>
          <cell r="E97" t="str">
            <v>Ministry of Railways</v>
          </cell>
          <cell r="F97" t="str">
            <v>Ministry</v>
          </cell>
          <cell r="G97" t="str">
            <v>Structural &amp; Utilities Management</v>
          </cell>
          <cell r="H97" t="str">
            <v>Capacity building &amp; Impact Assessment</v>
          </cell>
        </row>
        <row r="98">
          <cell r="B98" t="str">
            <v>PP00083</v>
          </cell>
          <cell r="C98" t="str">
            <v>Pan India</v>
          </cell>
          <cell r="D98"/>
          <cell r="E98" t="str">
            <v>Ministry of Road Transport and Highways</v>
          </cell>
          <cell r="F98" t="str">
            <v>Ministry</v>
          </cell>
          <cell r="G98" t="str">
            <v>Governanace, Administration &amp; Digital Infrastructure</v>
          </cell>
          <cell r="H98" t="str">
            <v>Capacity building &amp; Impact Assessment</v>
          </cell>
        </row>
        <row r="99">
          <cell r="B99" t="str">
            <v>PP00084</v>
          </cell>
          <cell r="C99" t="str">
            <v>Pan India</v>
          </cell>
          <cell r="D99" t="str">
            <v>Confidential</v>
          </cell>
          <cell r="E99"/>
          <cell r="F99" t="str">
            <v>Ministry</v>
          </cell>
          <cell r="G99" t="str">
            <v>Others</v>
          </cell>
          <cell r="H99" t="str">
            <v>Others</v>
          </cell>
        </row>
        <row r="100">
          <cell r="B100" t="str">
            <v>PP00085</v>
          </cell>
          <cell r="C100" t="str">
            <v>NCT of Delhi</v>
          </cell>
          <cell r="D100" t="str">
            <v>New Delhi Municipal Council</v>
          </cell>
          <cell r="E100" t="str">
            <v>Government of NCT of Delhi</v>
          </cell>
          <cell r="F100" t="str">
            <v>State Govt.</v>
          </cell>
          <cell r="G100" t="str">
            <v>Water &amp; Sanitation</v>
          </cell>
          <cell r="H100" t="str">
            <v>TPI/TPA/TPE/TPQA</v>
          </cell>
        </row>
        <row r="101">
          <cell r="B101" t="str">
            <v>PP00086</v>
          </cell>
          <cell r="C101" t="str">
            <v>Pan India</v>
          </cell>
          <cell r="D101"/>
          <cell r="E101" t="str">
            <v>NITI Aayog</v>
          </cell>
          <cell r="F101" t="str">
            <v>Ministry</v>
          </cell>
          <cell r="G101" t="str">
            <v>Financial Mgmt, Policy Analysis &amp; Research</v>
          </cell>
          <cell r="H101" t="str">
            <v>Capacity building &amp; Impact Assessment</v>
          </cell>
        </row>
        <row r="102">
          <cell r="B102" t="str">
            <v>PP00087</v>
          </cell>
          <cell r="C102" t="str">
            <v>Odisha</v>
          </cell>
          <cell r="D102" t="str">
            <v>Odisha Coal and Power Limited</v>
          </cell>
          <cell r="E102" t="str">
            <v>Government of Odisha</v>
          </cell>
          <cell r="F102" t="str">
            <v>State Govt.</v>
          </cell>
          <cell r="G102" t="str">
            <v>Mining &amp; Metallurgy</v>
          </cell>
          <cell r="H102" t="str">
            <v>TPI/TPA/TPE/TPQA</v>
          </cell>
        </row>
        <row r="103">
          <cell r="B103" t="str">
            <v>PP00088</v>
          </cell>
          <cell r="C103" t="str">
            <v>Rajasthan</v>
          </cell>
          <cell r="D103"/>
          <cell r="E103" t="str">
            <v>JSW Energy Barmer Plant</v>
          </cell>
          <cell r="F103" t="str">
            <v>Corporate</v>
          </cell>
          <cell r="G103" t="str">
            <v>Mining &amp; Metallurgy</v>
          </cell>
          <cell r="H103" t="str">
            <v>TPI/TPA/TPE/TPQA</v>
          </cell>
        </row>
        <row r="104">
          <cell r="B104" t="str">
            <v>PP00089</v>
          </cell>
          <cell r="C104" t="str">
            <v>Madhya Pradesh</v>
          </cell>
          <cell r="D104"/>
          <cell r="E104" t="str">
            <v>Hindalco</v>
          </cell>
          <cell r="F104" t="str">
            <v>Corporate</v>
          </cell>
          <cell r="G104" t="str">
            <v>Mining &amp; Metallurgy</v>
          </cell>
          <cell r="H104" t="str">
            <v>TPI/TPA/TPE/TPQA</v>
          </cell>
        </row>
        <row r="105">
          <cell r="B105" t="str">
            <v>PP00090</v>
          </cell>
          <cell r="C105" t="str">
            <v>Pan India</v>
          </cell>
          <cell r="D105"/>
          <cell r="E105" t="str">
            <v>Ministry of Jal Shakti</v>
          </cell>
          <cell r="F105" t="str">
            <v>Ministry</v>
          </cell>
          <cell r="G105" t="str">
            <v>Water &amp; Sanitation</v>
          </cell>
          <cell r="H105" t="str">
            <v>TPI/TPA/TPE/TPQA</v>
          </cell>
        </row>
        <row r="106">
          <cell r="B106" t="str">
            <v>PP00091</v>
          </cell>
          <cell r="C106" t="str">
            <v>Pan India</v>
          </cell>
          <cell r="D106"/>
          <cell r="E106" t="str">
            <v>National Disaster Management Authority</v>
          </cell>
          <cell r="F106" t="str">
            <v>Ministry</v>
          </cell>
          <cell r="G106" t="str">
            <v>Governanace, Administration &amp; Digital Infrastructure</v>
          </cell>
          <cell r="H106" t="str">
            <v>PMU/PMC</v>
          </cell>
        </row>
        <row r="107">
          <cell r="B107" t="str">
            <v>PP00092</v>
          </cell>
          <cell r="C107" t="str">
            <v>Pan India</v>
          </cell>
          <cell r="D107"/>
          <cell r="E107" t="str">
            <v>Ministry of Housing and Urban Affairs</v>
          </cell>
          <cell r="F107" t="str">
            <v>Ministry</v>
          </cell>
          <cell r="G107" t="str">
            <v>Water &amp; Sanitation</v>
          </cell>
          <cell r="H107" t="str">
            <v>TPI/TPA/TPE/TPQA</v>
          </cell>
        </row>
        <row r="108">
          <cell r="B108" t="str">
            <v>PP00093</v>
          </cell>
          <cell r="C108" t="str">
            <v>Pan India</v>
          </cell>
          <cell r="D108"/>
          <cell r="E108" t="str">
            <v>Department for Promotion of Industry and Internal Trade</v>
          </cell>
          <cell r="F108" t="str">
            <v>Ministry</v>
          </cell>
          <cell r="G108" t="str">
            <v>Governanace, Administration &amp; Digital Infrastructure</v>
          </cell>
          <cell r="H108" t="str">
            <v>Capacity building &amp; Impact Assessment</v>
          </cell>
        </row>
        <row r="109">
          <cell r="B109" t="str">
            <v>PP00094</v>
          </cell>
          <cell r="C109" t="str">
            <v>Pan India</v>
          </cell>
          <cell r="D109"/>
          <cell r="E109" t="str">
            <v>Department for Promotion of Industry and Internal Trade</v>
          </cell>
          <cell r="F109" t="str">
            <v>Ministry</v>
          </cell>
          <cell r="G109" t="str">
            <v>Governanace, Administration &amp; Digital Infrastructure</v>
          </cell>
          <cell r="H109" t="str">
            <v>Capacity building &amp; Impact Assessment</v>
          </cell>
        </row>
        <row r="110">
          <cell r="B110" t="str">
            <v>PP00095</v>
          </cell>
          <cell r="C110" t="str">
            <v>Pan India</v>
          </cell>
          <cell r="D110"/>
          <cell r="E110" t="str">
            <v>Ministry of Consumer Affairs, Food and Public Distribution</v>
          </cell>
          <cell r="F110" t="str">
            <v>Ministry</v>
          </cell>
          <cell r="G110" t="str">
            <v>Governanace, Administration &amp; Digital Infrastructure</v>
          </cell>
          <cell r="H110" t="str">
            <v>Capacity building &amp; Impact Assessment</v>
          </cell>
        </row>
        <row r="111">
          <cell r="B111" t="str">
            <v>PP00096</v>
          </cell>
          <cell r="C111" t="str">
            <v>Pan India</v>
          </cell>
          <cell r="D111"/>
          <cell r="E111" t="str">
            <v>Ministry of Housing and Urban Affairs</v>
          </cell>
          <cell r="F111" t="str">
            <v>Ministry</v>
          </cell>
          <cell r="G111" t="str">
            <v>Governanace, Administration &amp; Digital Infrastructure</v>
          </cell>
          <cell r="H111" t="str">
            <v>Capacity building &amp; Impact Assessment</v>
          </cell>
        </row>
        <row r="112">
          <cell r="B112" t="str">
            <v>PP00097</v>
          </cell>
          <cell r="C112" t="str">
            <v>NCT of Delhi</v>
          </cell>
          <cell r="D112" t="str">
            <v>Directorate General of Commercial Intelligence and Statistics</v>
          </cell>
          <cell r="E112" t="str">
            <v>DPIIT, Ministry of Commerce and Industry</v>
          </cell>
          <cell r="F112" t="str">
            <v>Ministry</v>
          </cell>
          <cell r="G112" t="str">
            <v>Governanace, Administration &amp; Digital Infrastructure</v>
          </cell>
          <cell r="H112" t="str">
            <v>TPI/TPA/TPE/TPQA</v>
          </cell>
        </row>
        <row r="113">
          <cell r="B113" t="str">
            <v>PP00098</v>
          </cell>
          <cell r="C113" t="str">
            <v>Pan India</v>
          </cell>
          <cell r="D113"/>
          <cell r="E113" t="str">
            <v>Ministry of Home Affairs</v>
          </cell>
          <cell r="F113" t="str">
            <v>Ministry</v>
          </cell>
          <cell r="G113" t="str">
            <v>Governanace, Administration &amp; Digital Infrastructure</v>
          </cell>
          <cell r="H113" t="str">
            <v>TPI/TPA/TPE/TPQA</v>
          </cell>
        </row>
        <row r="114">
          <cell r="B114" t="str">
            <v>PP00099</v>
          </cell>
          <cell r="C114" t="str">
            <v>Pan India</v>
          </cell>
          <cell r="D114"/>
          <cell r="E114" t="str">
            <v>Department of Administrative Reforms and Public Grievances</v>
          </cell>
          <cell r="F114" t="str">
            <v>Ministry</v>
          </cell>
          <cell r="G114" t="str">
            <v>Governanace, Administration &amp; Digital Infrastructure</v>
          </cell>
          <cell r="H114" t="str">
            <v>Capacity building &amp; Impact Assessment</v>
          </cell>
        </row>
        <row r="115">
          <cell r="B115" t="str">
            <v>PP00100</v>
          </cell>
          <cell r="C115" t="str">
            <v>Pan India</v>
          </cell>
          <cell r="D115"/>
          <cell r="E115" t="str">
            <v>Ministry of Culture</v>
          </cell>
          <cell r="F115" t="str">
            <v>Ministry</v>
          </cell>
          <cell r="G115" t="str">
            <v>Arts, Culture &amp; Tourism</v>
          </cell>
          <cell r="H115" t="str">
            <v>TPI/TPA/TPE/TPQA</v>
          </cell>
        </row>
        <row r="116">
          <cell r="B116" t="str">
            <v>PP00101</v>
          </cell>
          <cell r="C116" t="str">
            <v>Pan India</v>
          </cell>
          <cell r="D116"/>
          <cell r="E116" t="str">
            <v>Ministry of Human Resource Development</v>
          </cell>
          <cell r="F116" t="str">
            <v>Ministry</v>
          </cell>
          <cell r="G116" t="str">
            <v>Social Welfare, Education &amp; Skill Development</v>
          </cell>
          <cell r="H116" t="str">
            <v>TPI/TPA/TPE/TPQA</v>
          </cell>
        </row>
        <row r="117">
          <cell r="B117" t="str">
            <v>PP00102</v>
          </cell>
          <cell r="C117" t="str">
            <v>Pan India</v>
          </cell>
          <cell r="D117"/>
          <cell r="E117" t="str">
            <v>Food Corporation of India</v>
          </cell>
          <cell r="F117" t="str">
            <v>PSU</v>
          </cell>
          <cell r="G117" t="str">
            <v>Agriculture, Food Processing &amp; Supply Chain</v>
          </cell>
          <cell r="H117" t="str">
            <v>TPI/TPA/TPE/TPQA</v>
          </cell>
        </row>
        <row r="118">
          <cell r="B118" t="str">
            <v>PP00103</v>
          </cell>
          <cell r="C118" t="str">
            <v>Pan India</v>
          </cell>
          <cell r="D118"/>
          <cell r="E118" t="str">
            <v>Ministry of Railways</v>
          </cell>
          <cell r="F118" t="str">
            <v>Ministry</v>
          </cell>
          <cell r="G118" t="str">
            <v>Financial Mgmt, Policy Analysis &amp; Research</v>
          </cell>
          <cell r="H118" t="str">
            <v>Capacity building &amp; Impact Assessment</v>
          </cell>
        </row>
        <row r="119">
          <cell r="B119" t="str">
            <v>PP00104</v>
          </cell>
          <cell r="C119" t="str">
            <v>Pan India</v>
          </cell>
          <cell r="D119"/>
          <cell r="E119" t="str">
            <v>Ministry of Housing and Urban Affairs</v>
          </cell>
          <cell r="F119" t="str">
            <v>Ministry</v>
          </cell>
          <cell r="G119" t="str">
            <v>Water &amp; Sanitation</v>
          </cell>
          <cell r="H119" t="str">
            <v>TPI/TPA/TPE/TPQA</v>
          </cell>
        </row>
        <row r="120">
          <cell r="B120" t="str">
            <v>PP00105</v>
          </cell>
          <cell r="C120" t="str">
            <v>Pan India</v>
          </cell>
          <cell r="D120" t="str">
            <v>Department for Promotion of Industry and Internal Trade</v>
          </cell>
          <cell r="E120" t="str">
            <v>Ministry of Commerce and Industry</v>
          </cell>
          <cell r="F120" t="str">
            <v>Ministry</v>
          </cell>
          <cell r="G120" t="str">
            <v>Financial Mgmt, Policy Analysis &amp; Research</v>
          </cell>
          <cell r="H120" t="str">
            <v>PMU/PMC</v>
          </cell>
        </row>
        <row r="121">
          <cell r="B121" t="str">
            <v>PP00106</v>
          </cell>
          <cell r="C121" t="str">
            <v>Pan India</v>
          </cell>
          <cell r="D121"/>
          <cell r="E121" t="str">
            <v>Food Safety and Standards Authority of India</v>
          </cell>
          <cell r="F121" t="str">
            <v>Ministry</v>
          </cell>
          <cell r="G121" t="str">
            <v>Agriculture, Food Processing &amp; Supply Chain</v>
          </cell>
          <cell r="H121" t="str">
            <v>TPI/TPA/TPE/TPQA</v>
          </cell>
        </row>
        <row r="122">
          <cell r="B122" t="str">
            <v>PP00107</v>
          </cell>
          <cell r="C122" t="str">
            <v>Odisha</v>
          </cell>
          <cell r="D122"/>
          <cell r="E122" t="str">
            <v>National Thermal Power Corporation</v>
          </cell>
          <cell r="F122" t="str">
            <v>PSU/Ministry?</v>
          </cell>
          <cell r="G122" t="str">
            <v>Mining &amp; Metallurgy</v>
          </cell>
          <cell r="H122" t="str">
            <v>TPI/TPA/TPE/TPQA</v>
          </cell>
        </row>
        <row r="123">
          <cell r="B123" t="str">
            <v>PP00108</v>
          </cell>
          <cell r="C123" t="str">
            <v>Pan India</v>
          </cell>
          <cell r="D123" t="str">
            <v>Railway Board</v>
          </cell>
          <cell r="E123" t="str">
            <v>Ministry of Railways</v>
          </cell>
          <cell r="F123" t="str">
            <v>Ministry</v>
          </cell>
          <cell r="G123" t="str">
            <v>Structural &amp; Utilities Management</v>
          </cell>
          <cell r="H123" t="str">
            <v>TPI/TPA/TPE/TPQA</v>
          </cell>
        </row>
        <row r="124">
          <cell r="B124" t="str">
            <v>PP00109</v>
          </cell>
          <cell r="C124" t="str">
            <v>Pan India</v>
          </cell>
          <cell r="D124" t="str">
            <v>Confidential</v>
          </cell>
          <cell r="E124"/>
          <cell r="F124" t="str">
            <v>Ministry</v>
          </cell>
          <cell r="G124" t="str">
            <v>Others</v>
          </cell>
          <cell r="H124" t="str">
            <v>Others</v>
          </cell>
        </row>
        <row r="125">
          <cell r="B125" t="str">
            <v>PP00110</v>
          </cell>
          <cell r="C125" t="str">
            <v>Pan India</v>
          </cell>
          <cell r="D125" t="str">
            <v>Department for Promotion of Industry and Internal Trade</v>
          </cell>
          <cell r="E125" t="str">
            <v>Ministry of Commerce and Industry</v>
          </cell>
          <cell r="F125" t="str">
            <v>Ministry</v>
          </cell>
          <cell r="G125" t="str">
            <v>Agriculture, Food Processing &amp; Supply Chain</v>
          </cell>
          <cell r="H125" t="str">
            <v>TPI/TPA/TPE/TPQA</v>
          </cell>
        </row>
        <row r="126">
          <cell r="B126" t="str">
            <v>PP00111</v>
          </cell>
          <cell r="C126" t="str">
            <v>Pan India</v>
          </cell>
          <cell r="D126"/>
          <cell r="E126" t="str">
            <v>Ministry of Housing and Urban Affairs</v>
          </cell>
          <cell r="F126" t="str">
            <v>Ministry</v>
          </cell>
          <cell r="G126" t="str">
            <v>Governanace, Administration &amp; Digital Infrastructure</v>
          </cell>
          <cell r="H126" t="str">
            <v>TPI/TPA/TPE/TPQA</v>
          </cell>
        </row>
        <row r="127">
          <cell r="B127" t="str">
            <v>PP00112</v>
          </cell>
          <cell r="C127" t="str">
            <v>Odisha</v>
          </cell>
          <cell r="D127"/>
          <cell r="E127" t="str">
            <v>Government of Odisha</v>
          </cell>
          <cell r="F127" t="str">
            <v>State Govt.</v>
          </cell>
          <cell r="G127" t="str">
            <v>Governanace, Administration &amp; Digital Infrastructure</v>
          </cell>
          <cell r="H127" t="str">
            <v>TPI/TPA/TPE/TPQA</v>
          </cell>
        </row>
        <row r="128">
          <cell r="B128" t="str">
            <v>PP00113</v>
          </cell>
          <cell r="C128" t="str">
            <v>Pan India</v>
          </cell>
          <cell r="D128"/>
          <cell r="E128" t="str">
            <v>Ministry of Road Transport and Highways</v>
          </cell>
          <cell r="F128" t="str">
            <v>Ministry</v>
          </cell>
          <cell r="G128" t="str">
            <v>Governanace, Administration &amp; Digital Infrastructure</v>
          </cell>
          <cell r="H128" t="str">
            <v>Capacity building &amp; Impact Assessment</v>
          </cell>
        </row>
        <row r="129">
          <cell r="B129" t="str">
            <v>PP00114</v>
          </cell>
          <cell r="C129" t="str">
            <v>Andhra Pradesh</v>
          </cell>
          <cell r="D129" t="str">
            <v>Municipal Administration Department</v>
          </cell>
          <cell r="E129" t="str">
            <v>Government of Andhra Pradesh</v>
          </cell>
          <cell r="F129" t="str">
            <v>State Govt.</v>
          </cell>
          <cell r="G129" t="str">
            <v>Water &amp; Sanitation</v>
          </cell>
          <cell r="H129" t="str">
            <v>TPI/TPA/TPE/TPQA</v>
          </cell>
        </row>
        <row r="130">
          <cell r="B130" t="str">
            <v>PP00115</v>
          </cell>
          <cell r="C130" t="str">
            <v>Pan India</v>
          </cell>
          <cell r="D130"/>
          <cell r="E130" t="str">
            <v>Capacity Building Commission</v>
          </cell>
          <cell r="F130" t="str">
            <v>Ministry</v>
          </cell>
          <cell r="G130" t="str">
            <v>Financial Mgmt, Policy Analysis &amp; Research</v>
          </cell>
          <cell r="H130" t="str">
            <v>Capacity building &amp; Impact Assessment</v>
          </cell>
        </row>
        <row r="131">
          <cell r="B131" t="str">
            <v>PP00116</v>
          </cell>
          <cell r="C131" t="str">
            <v>Pan India</v>
          </cell>
          <cell r="D131"/>
          <cell r="E131" t="str">
            <v>Ministry of Housing and Urban Affairs</v>
          </cell>
          <cell r="F131" t="str">
            <v>Ministry</v>
          </cell>
          <cell r="G131" t="str">
            <v>Water &amp; Sanitation</v>
          </cell>
          <cell r="H131" t="str">
            <v>TPI/TPA/TPE/TPQA</v>
          </cell>
        </row>
        <row r="132">
          <cell r="B132" t="str">
            <v>PP00117</v>
          </cell>
          <cell r="C132" t="str">
            <v>Pan India</v>
          </cell>
          <cell r="D132" t="str">
            <v>Confidential</v>
          </cell>
          <cell r="E132"/>
          <cell r="F132" t="str">
            <v>Ministry</v>
          </cell>
          <cell r="G132" t="str">
            <v>Others</v>
          </cell>
          <cell r="H132" t="str">
            <v>Others</v>
          </cell>
        </row>
        <row r="133">
          <cell r="B133" t="str">
            <v>PP00118</v>
          </cell>
          <cell r="C133" t="str">
            <v>Pan India</v>
          </cell>
          <cell r="D133"/>
          <cell r="E133" t="str">
            <v>National Disaster Management Authority</v>
          </cell>
          <cell r="F133" t="str">
            <v>Ministry</v>
          </cell>
          <cell r="G133" t="str">
            <v>Governanace, Administration &amp; Digital Infrastructure</v>
          </cell>
          <cell r="H133" t="str">
            <v>PMU/PMC</v>
          </cell>
        </row>
        <row r="134">
          <cell r="B134" t="str">
            <v>PP00119</v>
          </cell>
          <cell r="C134" t="str">
            <v>Odisha</v>
          </cell>
          <cell r="D134" t="str">
            <v>NLC India Limited</v>
          </cell>
          <cell r="E134" t="str">
            <v>Ministry of Coal</v>
          </cell>
          <cell r="F134" t="str">
            <v>PSU</v>
          </cell>
          <cell r="G134" t="str">
            <v>Mining &amp; Metallurgy</v>
          </cell>
          <cell r="H134" t="str">
            <v>TPI/TPA/TPE/TPQA</v>
          </cell>
        </row>
        <row r="135">
          <cell r="B135" t="str">
            <v>PP00120</v>
          </cell>
          <cell r="C135" t="str">
            <v>Himachal Pradesh</v>
          </cell>
          <cell r="D135"/>
          <cell r="E135" t="str">
            <v>Government of Himachal Pradesh</v>
          </cell>
          <cell r="F135" t="str">
            <v>State Govt.</v>
          </cell>
          <cell r="G135" t="str">
            <v>Water &amp; Sanitation</v>
          </cell>
          <cell r="H135" t="str">
            <v>TPI/TPA/TPE/TPQA</v>
          </cell>
        </row>
        <row r="136">
          <cell r="B136" t="str">
            <v>PP00121</v>
          </cell>
          <cell r="C136" t="str">
            <v>Pan India</v>
          </cell>
          <cell r="D136"/>
          <cell r="E136" t="str">
            <v>Ministry of Housing and Urban Affairs</v>
          </cell>
          <cell r="F136" t="str">
            <v>Ministry</v>
          </cell>
          <cell r="G136" t="str">
            <v>Water &amp; Sanitation</v>
          </cell>
          <cell r="H136" t="str">
            <v>TPI/TPA/TPE/TPQA</v>
          </cell>
        </row>
        <row r="137">
          <cell r="B137" t="str">
            <v>PP00122</v>
          </cell>
          <cell r="C137" t="str">
            <v>Pan India</v>
          </cell>
          <cell r="D137" t="str">
            <v>Department of Administrative Reforms and Public Grievances</v>
          </cell>
          <cell r="E137" t="str">
            <v>Ministry of Personnel, Public Grievances and Pensions</v>
          </cell>
          <cell r="F137" t="str">
            <v>Ministry</v>
          </cell>
          <cell r="G137" t="str">
            <v>Governanace, Administration &amp; Digital Infrastructure</v>
          </cell>
          <cell r="H137" t="str">
            <v>PMU/PMC</v>
          </cell>
        </row>
        <row r="138">
          <cell r="B138" t="str">
            <v>PP00123</v>
          </cell>
          <cell r="C138" t="str">
            <v>Pan India</v>
          </cell>
          <cell r="D138" t="str">
            <v>Ministry of Housing and Urban Affairs</v>
          </cell>
          <cell r="E138" t="str">
            <v>Ministry of Housing and Urban Affairs</v>
          </cell>
          <cell r="F138" t="str">
            <v>Ministry</v>
          </cell>
          <cell r="G138" t="str">
            <v>Water &amp; Sanitation</v>
          </cell>
          <cell r="H138" t="str">
            <v>TPI/TPA/TPE/TPQA</v>
          </cell>
        </row>
        <row r="139">
          <cell r="B139" t="str">
            <v>PP00124</v>
          </cell>
          <cell r="C139" t="str">
            <v>Pan India</v>
          </cell>
          <cell r="D139" t="str">
            <v>Ministry of Women and Child Development</v>
          </cell>
          <cell r="E139" t="str">
            <v>Ministry of Women and Child Development</v>
          </cell>
          <cell r="F139" t="str">
            <v>Ministry</v>
          </cell>
          <cell r="G139" t="str">
            <v>Governanace, Administration &amp; Digital Infrastructure</v>
          </cell>
          <cell r="H139" t="str">
            <v>Capacity building &amp; Impact Assessment</v>
          </cell>
        </row>
        <row r="140">
          <cell r="B140" t="str">
            <v>PP00125</v>
          </cell>
          <cell r="C140" t="str">
            <v>Uttar Pradesh</v>
          </cell>
          <cell r="D140" t="str">
            <v>Parichha Thermal Power Project</v>
          </cell>
          <cell r="E140" t="str">
            <v>Government of Uttar Pradesh</v>
          </cell>
          <cell r="F140" t="str">
            <v>Corporate</v>
          </cell>
          <cell r="G140" t="str">
            <v>Mining &amp; Metallurgy</v>
          </cell>
          <cell r="H140" t="str">
            <v>TPI/TPA/TPE/TPQA</v>
          </cell>
        </row>
        <row r="141">
          <cell r="B141" t="str">
            <v>PP00126</v>
          </cell>
          <cell r="C141" t="str">
            <v>Pan India</v>
          </cell>
          <cell r="D141" t="str">
            <v>Government e-Marketplace</v>
          </cell>
          <cell r="E141" t="str">
            <v>Department for Promotion of Industry and Internal Trade</v>
          </cell>
          <cell r="F141" t="str">
            <v>Ministry</v>
          </cell>
          <cell r="G141" t="str">
            <v>Governanace, Administration &amp; Digital Infrastructure</v>
          </cell>
          <cell r="H141" t="str">
            <v>Capacity building &amp; Impact Assessment</v>
          </cell>
        </row>
        <row r="142">
          <cell r="B142" t="str">
            <v>PP00127</v>
          </cell>
          <cell r="C142" t="str">
            <v>Jammu &amp; Kashmir</v>
          </cell>
          <cell r="D142" t="str">
            <v>DC Office, Jammu</v>
          </cell>
          <cell r="E142" t="str">
            <v>Administration of Jammu and Kashmir</v>
          </cell>
          <cell r="F142" t="str">
            <v>UT</v>
          </cell>
          <cell r="G142" t="str">
            <v>Water &amp; Sanitation</v>
          </cell>
          <cell r="H142" t="str">
            <v>TPI/TPA/TPE/TPQA</v>
          </cell>
        </row>
        <row r="143">
          <cell r="B143" t="str">
            <v>PP00128</v>
          </cell>
          <cell r="C143" t="str">
            <v>Jammu &amp; Kashmir</v>
          </cell>
          <cell r="D143" t="str">
            <v>DC Office, Jammu</v>
          </cell>
          <cell r="E143" t="str">
            <v>Administration of Jammu and Kashmir</v>
          </cell>
          <cell r="F143" t="str">
            <v>UT</v>
          </cell>
          <cell r="G143" t="str">
            <v>Social Welfare, Education &amp; Skill Development</v>
          </cell>
          <cell r="H143" t="str">
            <v>Capacity building &amp; Impact Assessment</v>
          </cell>
        </row>
        <row r="144">
          <cell r="B144" t="str">
            <v>PP00129</v>
          </cell>
          <cell r="C144" t="str">
            <v>Pan India</v>
          </cell>
          <cell r="D144"/>
          <cell r="E144" t="str">
            <v>Food Corporation of India</v>
          </cell>
          <cell r="F144" t="str">
            <v>PSU</v>
          </cell>
          <cell r="G144" t="str">
            <v>Agriculture, Food Processing &amp; Supply Chain</v>
          </cell>
          <cell r="H144" t="str">
            <v>TPI/TPA/TPE/TPQA</v>
          </cell>
        </row>
        <row r="145">
          <cell r="B145" t="str">
            <v>PP00130</v>
          </cell>
          <cell r="C145" t="str">
            <v>Pan India</v>
          </cell>
          <cell r="D145"/>
          <cell r="E145" t="str">
            <v>Ministry of Women and Child Development</v>
          </cell>
          <cell r="F145" t="str">
            <v>Ministry</v>
          </cell>
          <cell r="G145" t="str">
            <v>Governanace, Administration &amp; Digital Infrastructure</v>
          </cell>
          <cell r="H145" t="str">
            <v>Capacity building &amp; Impact Assessment</v>
          </cell>
        </row>
        <row r="146">
          <cell r="B146" t="str">
            <v>PP00131</v>
          </cell>
          <cell r="C146" t="str">
            <v>Pan India</v>
          </cell>
          <cell r="D146" t="str">
            <v>Department of Administrative Reforms and Public Grievances</v>
          </cell>
          <cell r="E146" t="str">
            <v>Ministry of Personnel, Public Grievances and Pensions</v>
          </cell>
          <cell r="F146" t="str">
            <v>Ministry</v>
          </cell>
          <cell r="G146" t="str">
            <v>Governanace, Administration &amp; Digital Infrastructure</v>
          </cell>
          <cell r="H146" t="str">
            <v>TPI/TPA/TPE/TPQA</v>
          </cell>
        </row>
        <row r="147">
          <cell r="B147" t="str">
            <v>PP00132</v>
          </cell>
          <cell r="C147" t="str">
            <v>Pan India</v>
          </cell>
          <cell r="D147"/>
          <cell r="E147" t="str">
            <v>Ministry of Housing and Urban Affairs</v>
          </cell>
          <cell r="F147" t="str">
            <v>Ministry</v>
          </cell>
          <cell r="G147" t="str">
            <v>Governanace, Administration &amp; Digital Infrastructure</v>
          </cell>
          <cell r="H147" t="str">
            <v>Capacity building &amp; Impact Assessment</v>
          </cell>
        </row>
        <row r="148">
          <cell r="B148" t="str">
            <v>PP00133</v>
          </cell>
          <cell r="C148" t="str">
            <v>Haryana</v>
          </cell>
          <cell r="D148" t="str">
            <v>Public Health Engineering Department</v>
          </cell>
          <cell r="E148" t="str">
            <v>Government of Haryana</v>
          </cell>
          <cell r="F148" t="str">
            <v>State Govt.</v>
          </cell>
          <cell r="G148" t="str">
            <v>Water &amp; Sanitation</v>
          </cell>
          <cell r="H148" t="str">
            <v>TPI/TPA/TPE/TPQA</v>
          </cell>
        </row>
        <row r="149">
          <cell r="B149" t="str">
            <v>PP00134</v>
          </cell>
          <cell r="C149" t="str">
            <v>Pan India</v>
          </cell>
          <cell r="D149"/>
          <cell r="E149" t="str">
            <v>Ministry of Culture</v>
          </cell>
          <cell r="F149" t="str">
            <v>Ministry</v>
          </cell>
          <cell r="G149" t="str">
            <v>Arts, Culture &amp; Tourism</v>
          </cell>
          <cell r="H149" t="str">
            <v>Capacity building &amp; Impact Assessment</v>
          </cell>
        </row>
        <row r="150">
          <cell r="B150" t="str">
            <v>PP00135</v>
          </cell>
          <cell r="C150" t="str">
            <v>Madhya Pradesh</v>
          </cell>
          <cell r="D150" t="str">
            <v>MP Jal Nigam</v>
          </cell>
          <cell r="E150" t="str">
            <v>Government of Madhya Pradesh</v>
          </cell>
          <cell r="F150" t="str">
            <v>State Govt.</v>
          </cell>
          <cell r="G150" t="str">
            <v>Financial Mgmt, Policy Analysis &amp; Research</v>
          </cell>
          <cell r="H150" t="str">
            <v>Capacity building &amp; Impact Assessment</v>
          </cell>
        </row>
        <row r="151">
          <cell r="B151" t="str">
            <v>PP00136</v>
          </cell>
          <cell r="C151" t="str">
            <v>Pan India</v>
          </cell>
          <cell r="D151" t="str">
            <v>Department of Public Enterprises</v>
          </cell>
          <cell r="E151" t="str">
            <v>Ministry of Finance</v>
          </cell>
          <cell r="F151" t="str">
            <v>Ministry</v>
          </cell>
          <cell r="G151" t="str">
            <v>Governanace, Administration &amp; Digital Infrastructure</v>
          </cell>
          <cell r="H151" t="str">
            <v>PMU/PMC</v>
          </cell>
        </row>
        <row r="152">
          <cell r="B152" t="str">
            <v>PP00137</v>
          </cell>
          <cell r="C152" t="str">
            <v>Pan India</v>
          </cell>
          <cell r="D152"/>
          <cell r="E152" t="str">
            <v>Reserve Bank of India</v>
          </cell>
          <cell r="F152" t="str">
            <v>Ministry</v>
          </cell>
          <cell r="G152" t="str">
            <v>Governanace, Administration &amp; Digital Infrastructure</v>
          </cell>
          <cell r="H152" t="str">
            <v>Capacity building &amp; Impact Assessment</v>
          </cell>
        </row>
        <row r="153">
          <cell r="B153" t="str">
            <v>PP00138</v>
          </cell>
          <cell r="C153" t="str">
            <v>Pan India</v>
          </cell>
          <cell r="D153"/>
          <cell r="E153" t="str">
            <v>Reserve Bank of India</v>
          </cell>
          <cell r="F153" t="str">
            <v>Ministry</v>
          </cell>
          <cell r="G153" t="str">
            <v>Financial Mgmt, Policy Analysis &amp; Research</v>
          </cell>
          <cell r="H153" t="str">
            <v>Capacity building &amp; Impact Assessment</v>
          </cell>
        </row>
        <row r="154">
          <cell r="B154" t="str">
            <v>PP00139</v>
          </cell>
          <cell r="C154" t="str">
            <v>Pan India</v>
          </cell>
          <cell r="D154"/>
          <cell r="E154" t="str">
            <v>Reserve Bank of India</v>
          </cell>
          <cell r="F154" t="str">
            <v>Ministry</v>
          </cell>
          <cell r="G154" t="str">
            <v>Financial Mgmt, Policy Analysis &amp; Research</v>
          </cell>
          <cell r="H154" t="str">
            <v>Capacity building &amp; Impact Assessment</v>
          </cell>
        </row>
        <row r="155">
          <cell r="B155" t="str">
            <v>PP00140</v>
          </cell>
          <cell r="C155" t="str">
            <v>Pan India</v>
          </cell>
          <cell r="D155" t="str">
            <v>Centralized Public Grievance Redress and Monitoring System, Department of Administrative Reforms and Public Grievances</v>
          </cell>
          <cell r="E155" t="str">
            <v>Ministry of Personnel, Public Grievances and Pensions</v>
          </cell>
          <cell r="F155" t="str">
            <v>Ministry</v>
          </cell>
          <cell r="G155" t="str">
            <v>Governanace, Administration &amp; Digital Infrastructure</v>
          </cell>
          <cell r="H155" t="str">
            <v>Capacity building &amp; Impact Assessment</v>
          </cell>
        </row>
        <row r="156">
          <cell r="B156" t="str">
            <v>PP00141</v>
          </cell>
          <cell r="C156" t="str">
            <v>Tamil Nadu</v>
          </cell>
          <cell r="D156"/>
          <cell r="E156" t="str">
            <v>NTPL</v>
          </cell>
          <cell r="F156" t="str">
            <v>PSU</v>
          </cell>
          <cell r="G156" t="str">
            <v>Mining &amp; Metallurgy</v>
          </cell>
          <cell r="H156" t="str">
            <v>TPI/TPA/TPE/TPQA</v>
          </cell>
        </row>
        <row r="157">
          <cell r="B157" t="str">
            <v>PP00142</v>
          </cell>
          <cell r="C157" t="str">
            <v>Uttar Pradesh</v>
          </cell>
          <cell r="D157"/>
          <cell r="E157" t="str">
            <v>Government of Uttar Pradesh</v>
          </cell>
          <cell r="F157" t="str">
            <v>State Govt.</v>
          </cell>
          <cell r="G157" t="str">
            <v>Structural &amp; Utilities Management</v>
          </cell>
          <cell r="H157" t="str">
            <v>TPI/TPA/TPE/TPQA</v>
          </cell>
        </row>
        <row r="158">
          <cell r="B158" t="str">
            <v>PP00143</v>
          </cell>
          <cell r="C158" t="str">
            <v>Pan India</v>
          </cell>
          <cell r="D158" t="str">
            <v>Department of Administrative Reforms and Public Grievances</v>
          </cell>
          <cell r="E158" t="str">
            <v>Ministry of Personnel, Public Grievances and Pensions</v>
          </cell>
          <cell r="F158" t="str">
            <v>Ministry</v>
          </cell>
          <cell r="G158" t="str">
            <v>Governanace, Administration &amp; Digital Infrastructure</v>
          </cell>
          <cell r="H158" t="str">
            <v>PMU/PMC</v>
          </cell>
        </row>
        <row r="159">
          <cell r="B159" t="str">
            <v>PP00144</v>
          </cell>
          <cell r="C159" t="str">
            <v>Pan India</v>
          </cell>
          <cell r="D159"/>
          <cell r="E159" t="str">
            <v>Ministry of Housing and Urban Affairs</v>
          </cell>
          <cell r="F159" t="str">
            <v>Ministry</v>
          </cell>
          <cell r="G159" t="str">
            <v>Water &amp; Sanitation</v>
          </cell>
          <cell r="H159" t="str">
            <v>TPI/TPA/TPE/TPQA</v>
          </cell>
        </row>
        <row r="160">
          <cell r="B160" t="str">
            <v>PP00145</v>
          </cell>
          <cell r="C160" t="str">
            <v>Haryana</v>
          </cell>
          <cell r="D160"/>
          <cell r="E160" t="str">
            <v>Ministry of Housing and Urban Affairs</v>
          </cell>
          <cell r="F160" t="str">
            <v>Ministry</v>
          </cell>
          <cell r="G160" t="str">
            <v>Water &amp; Sanitation</v>
          </cell>
          <cell r="H160" t="str">
            <v>Capacity building &amp; Impact Assessment</v>
          </cell>
        </row>
        <row r="161">
          <cell r="B161" t="str">
            <v>PP00146</v>
          </cell>
          <cell r="C161" t="str">
            <v>Pan India</v>
          </cell>
          <cell r="D161" t="str">
            <v>Department of Administrative Reforms and Public Grievances</v>
          </cell>
          <cell r="E161" t="str">
            <v>Ministry of Personnel, Public Grievances and Pensions</v>
          </cell>
          <cell r="F161" t="str">
            <v>Ministry</v>
          </cell>
          <cell r="G161" t="str">
            <v>Governanace, Administration &amp; Digital Infrastructure</v>
          </cell>
          <cell r="H161" t="str">
            <v>PMU/PMC</v>
          </cell>
        </row>
        <row r="162">
          <cell r="B162" t="str">
            <v>PP00147</v>
          </cell>
          <cell r="C162" t="str">
            <v>Pan India</v>
          </cell>
          <cell r="D162" t="str">
            <v>Pt. Bara Daya Energi</v>
          </cell>
          <cell r="E162"/>
          <cell r="F162" t="str">
            <v>Corporate</v>
          </cell>
          <cell r="G162" t="str">
            <v>Mining &amp; Metallurgy</v>
          </cell>
          <cell r="H162" t="str">
            <v>TPI/TPA/TPE/TPQA</v>
          </cell>
        </row>
        <row r="163">
          <cell r="B163" t="str">
            <v>PP00148</v>
          </cell>
          <cell r="C163" t="str">
            <v>Pan India</v>
          </cell>
          <cell r="D163" t="str">
            <v>Confidential</v>
          </cell>
          <cell r="E163"/>
          <cell r="F163" t="str">
            <v>Ministry</v>
          </cell>
          <cell r="G163" t="str">
            <v>Others</v>
          </cell>
          <cell r="H163" t="str">
            <v>Others</v>
          </cell>
        </row>
        <row r="164">
          <cell r="B164" t="str">
            <v>PP00149</v>
          </cell>
          <cell r="C164" t="str">
            <v>Pan India</v>
          </cell>
          <cell r="D164"/>
          <cell r="E164" t="str">
            <v>Ministry of Road Transport and Highways</v>
          </cell>
          <cell r="F164" t="str">
            <v>Ministry</v>
          </cell>
          <cell r="G164" t="str">
            <v>Governanace, Administration &amp; Digital Infrastructure</v>
          </cell>
          <cell r="H164" t="str">
            <v>Capacity building &amp; Impact Assessment</v>
          </cell>
        </row>
        <row r="165">
          <cell r="B165" t="str">
            <v>PP00150</v>
          </cell>
          <cell r="C165" t="str">
            <v>Pan India</v>
          </cell>
          <cell r="D165"/>
          <cell r="E165" t="str">
            <v>National Health Authority</v>
          </cell>
          <cell r="F165" t="str">
            <v>Ministry</v>
          </cell>
          <cell r="G165" t="str">
            <v>Governanace, Administration &amp; Digital Infrastructure</v>
          </cell>
          <cell r="H165" t="str">
            <v>Others</v>
          </cell>
        </row>
        <row r="166">
          <cell r="B166" t="str">
            <v>PP00151</v>
          </cell>
          <cell r="C166" t="str">
            <v>Pan India</v>
          </cell>
          <cell r="D166" t="str">
            <v>Refex, SEPC, JPL Dhule, Ms Fuels, Omaxe</v>
          </cell>
          <cell r="E166"/>
          <cell r="F166" t="str">
            <v>Corporate</v>
          </cell>
          <cell r="G166" t="str">
            <v>Mining &amp; Metallurgy</v>
          </cell>
          <cell r="H166" t="str">
            <v>TPI/TPA/TPE/TPQA</v>
          </cell>
        </row>
        <row r="167">
          <cell r="B167" t="str">
            <v>PP00152</v>
          </cell>
          <cell r="C167" t="str">
            <v>NCT of Delhi</v>
          </cell>
          <cell r="D167"/>
          <cell r="E167" t="str">
            <v>National Disaster Management Authority</v>
          </cell>
          <cell r="F167" t="str">
            <v>Ministry</v>
          </cell>
          <cell r="G167" t="str">
            <v>Governanace, Administration &amp; Digital Infrastructure</v>
          </cell>
          <cell r="H167" t="str">
            <v>Capacity building &amp; Impact Assessment</v>
          </cell>
        </row>
        <row r="168">
          <cell r="B168" t="str">
            <v>PP00153</v>
          </cell>
          <cell r="C168" t="str">
            <v>Uttar Pradesh</v>
          </cell>
          <cell r="D168" t="str">
            <v>Department for Promotion of Industry and Internal Trade</v>
          </cell>
          <cell r="E168" t="str">
            <v>Ministry of Commerce and Industry</v>
          </cell>
          <cell r="F168" t="str">
            <v>Ministry</v>
          </cell>
          <cell r="G168" t="str">
            <v>Social Welfare, Education &amp; Skill Development</v>
          </cell>
          <cell r="H168" t="str">
            <v>TPI/TPA/TPE/TPQA</v>
          </cell>
        </row>
        <row r="169">
          <cell r="B169" t="str">
            <v>PP00154</v>
          </cell>
          <cell r="C169" t="str">
            <v>Pan India</v>
          </cell>
          <cell r="D169"/>
          <cell r="E169" t="str">
            <v>Ministry of Fisheries, Animal Husbandry and Dairying</v>
          </cell>
          <cell r="F169" t="str">
            <v>Ministry</v>
          </cell>
          <cell r="G169" t="str">
            <v>Governanace, Administration &amp; Digital Infrastructure</v>
          </cell>
          <cell r="H169" t="str">
            <v>Capacity building &amp; Impact Assessment</v>
          </cell>
        </row>
        <row r="170">
          <cell r="B170" t="str">
            <v>PP00155</v>
          </cell>
          <cell r="C170" t="str">
            <v>Madhya Pradesh</v>
          </cell>
          <cell r="D170"/>
          <cell r="E170" t="str">
            <v xml:space="preserve">Lanco Amarkantak </v>
          </cell>
          <cell r="F170" t="str">
            <v>Corporate</v>
          </cell>
          <cell r="G170" t="str">
            <v>Mining &amp; Metallurgy</v>
          </cell>
          <cell r="H170" t="str">
            <v>TPI/TPA/TPE/TPQA</v>
          </cell>
        </row>
        <row r="171">
          <cell r="B171" t="str">
            <v>PP00156</v>
          </cell>
          <cell r="C171" t="str">
            <v>NCT of Delhi</v>
          </cell>
          <cell r="D171" t="str">
            <v>Department for Promotion of Industry and Internal Trade</v>
          </cell>
          <cell r="E171" t="str">
            <v>Ministry of Commerce and Industry</v>
          </cell>
          <cell r="F171" t="str">
            <v>Ministry</v>
          </cell>
          <cell r="G171" t="str">
            <v>Governanace, Administration &amp; Digital Infrastructure</v>
          </cell>
          <cell r="H171" t="str">
            <v>TPI/TPA/TPE/TPQA</v>
          </cell>
        </row>
        <row r="172">
          <cell r="B172" t="str">
            <v>PP00157</v>
          </cell>
          <cell r="C172" t="str">
            <v>Andhra Pradesh</v>
          </cell>
          <cell r="D172"/>
          <cell r="E172" t="str">
            <v>Government of Andhra Pradesh</v>
          </cell>
          <cell r="F172" t="str">
            <v>State Govt.</v>
          </cell>
          <cell r="G172" t="str">
            <v>Social Welfare, Education &amp; Skill Development</v>
          </cell>
          <cell r="H172" t="str">
            <v>TPI/TPA/TPE/TPQA</v>
          </cell>
        </row>
        <row r="173">
          <cell r="B173" t="str">
            <v>PP00158</v>
          </cell>
          <cell r="C173" t="str">
            <v>Pan India</v>
          </cell>
          <cell r="D173" t="str">
            <v>NTPC Limited</v>
          </cell>
          <cell r="E173"/>
          <cell r="F173" t="str">
            <v>PSU</v>
          </cell>
          <cell r="G173" t="str">
            <v>Mining &amp; Metallurgy</v>
          </cell>
          <cell r="H173" t="str">
            <v>TPI/TPA/TPE/TPQA</v>
          </cell>
        </row>
        <row r="174">
          <cell r="B174" t="str">
            <v>PP00159</v>
          </cell>
          <cell r="C174" t="str">
            <v>Tamil Nadu</v>
          </cell>
          <cell r="D174" t="str">
            <v>Department for Promotion of Industry and Internal Trade</v>
          </cell>
          <cell r="E174" t="str">
            <v>Ministry of Commerce and Industry</v>
          </cell>
          <cell r="F174" t="str">
            <v>Ministry</v>
          </cell>
          <cell r="G174" t="str">
            <v>Social Welfare, Education &amp; Skill Development</v>
          </cell>
          <cell r="H174" t="str">
            <v>TPI/TPA/TPE/TPQA</v>
          </cell>
        </row>
        <row r="175">
          <cell r="B175" t="str">
            <v>PP00160</v>
          </cell>
          <cell r="C175" t="str">
            <v>Pan India</v>
          </cell>
          <cell r="D175" t="str">
            <v>Food Corporation of India</v>
          </cell>
          <cell r="E175"/>
          <cell r="F175" t="str">
            <v>PSU</v>
          </cell>
          <cell r="G175" t="str">
            <v>Agriculture, Food Processing &amp; Supply Chain</v>
          </cell>
          <cell r="H175" t="str">
            <v>TPI/TPA/TPE/TPQA</v>
          </cell>
        </row>
        <row r="176">
          <cell r="B176" t="str">
            <v>PP00161</v>
          </cell>
          <cell r="C176" t="str">
            <v>Pan India</v>
          </cell>
          <cell r="D176" t="str">
            <v>National River Conservation Directorate</v>
          </cell>
          <cell r="E176" t="str">
            <v>Ministry of Jal Shakti</v>
          </cell>
          <cell r="F176" t="str">
            <v>Ministry</v>
          </cell>
          <cell r="G176" t="str">
            <v>Water &amp; Sanitation</v>
          </cell>
          <cell r="H176" t="str">
            <v>TPI/TPA/TPE/TPQA</v>
          </cell>
        </row>
        <row r="177">
          <cell r="B177" t="str">
            <v>PP00162</v>
          </cell>
          <cell r="C177" t="str">
            <v>Uttar Pradesh</v>
          </cell>
          <cell r="D177" t="str">
            <v>UP Projects Corporation Ltd.</v>
          </cell>
          <cell r="E177" t="str">
            <v>Government of Uttar Pradesh</v>
          </cell>
          <cell r="F177" t="str">
            <v>State Govt.</v>
          </cell>
          <cell r="G177" t="str">
            <v>Structural &amp; Utilities Management</v>
          </cell>
          <cell r="H177" t="str">
            <v>TPI/TPA/TPE/TPQA</v>
          </cell>
        </row>
        <row r="178">
          <cell r="B178" t="str">
            <v>PP00163</v>
          </cell>
          <cell r="C178" t="str">
            <v>Pan India</v>
          </cell>
          <cell r="D178"/>
          <cell r="E178" t="str">
            <v>Ministry of Housing and Urban Affairs</v>
          </cell>
          <cell r="F178" t="str">
            <v>Ministry</v>
          </cell>
          <cell r="G178" t="str">
            <v>Governanace, Administration &amp; Digital Infrastructure</v>
          </cell>
          <cell r="H178" t="str">
            <v>Capacity building &amp; Impact Assessment</v>
          </cell>
        </row>
        <row r="179">
          <cell r="B179" t="str">
            <v>PP00164</v>
          </cell>
          <cell r="C179" t="str">
            <v>Pan India</v>
          </cell>
          <cell r="D179" t="str">
            <v>SBM III/PHE Division</v>
          </cell>
          <cell r="E179" t="str">
            <v>Ministry of Housing and Urban Affairs</v>
          </cell>
          <cell r="F179" t="str">
            <v>Ministry</v>
          </cell>
          <cell r="G179" t="str">
            <v>Water &amp; Sanitation</v>
          </cell>
          <cell r="H179" t="str">
            <v>TPI/TPA/TPE/TPQA</v>
          </cell>
        </row>
        <row r="180">
          <cell r="B180" t="str">
            <v>PP00165</v>
          </cell>
          <cell r="C180" t="str">
            <v>Uttar Pradesh</v>
          </cell>
          <cell r="D180"/>
          <cell r="E180" t="str">
            <v>Government of Uttar Pradesh</v>
          </cell>
          <cell r="F180" t="str">
            <v>State Govt.</v>
          </cell>
          <cell r="G180" t="str">
            <v>Structural &amp; Utilities Management</v>
          </cell>
          <cell r="H180" t="str">
            <v>TPI/TPA/TPE/TPQA</v>
          </cell>
        </row>
        <row r="181">
          <cell r="B181" t="str">
            <v>PP00166</v>
          </cell>
          <cell r="C181" t="str">
            <v>Uttar Pradesh</v>
          </cell>
          <cell r="D181" t="str">
            <v>U.P. Project Corporations Ltd.</v>
          </cell>
          <cell r="E181" t="str">
            <v>Government of Uttar Pradesh</v>
          </cell>
          <cell r="F181" t="str">
            <v>State Gov.</v>
          </cell>
          <cell r="G181" t="str">
            <v>Structural &amp; Utilities Management</v>
          </cell>
          <cell r="H181" t="str">
            <v>TPI/TPA/TPE/TPQA</v>
          </cell>
        </row>
        <row r="182">
          <cell r="B182" t="str">
            <v>PP00167</v>
          </cell>
          <cell r="C182" t="str">
            <v>NCT of Delhi</v>
          </cell>
          <cell r="D182" t="str">
            <v>India Trade Promotion Organisation, DPIIT</v>
          </cell>
          <cell r="E182" t="str">
            <v>Ministry of Commerce and Industry</v>
          </cell>
          <cell r="F182" t="str">
            <v>Ministry</v>
          </cell>
          <cell r="G182" t="str">
            <v>Structural &amp; Utilities Management</v>
          </cell>
          <cell r="H182" t="str">
            <v>TPI/TPA/TPE/TPQA</v>
          </cell>
        </row>
        <row r="183">
          <cell r="B183" t="str">
            <v>PP00168</v>
          </cell>
          <cell r="C183" t="str">
            <v>Pan India</v>
          </cell>
          <cell r="D183" t="str">
            <v>Department of Administrative Reforms and Public Grievances</v>
          </cell>
          <cell r="E183" t="str">
            <v>Ministry of Personnel, Public Grievances and Pensions</v>
          </cell>
          <cell r="F183" t="str">
            <v>Ministry</v>
          </cell>
          <cell r="G183" t="str">
            <v>Governanace, Administration &amp; Digital Infrastructure</v>
          </cell>
          <cell r="H183" t="str">
            <v>PMU/PMC</v>
          </cell>
        </row>
        <row r="184">
          <cell r="B184" t="str">
            <v>PP00169</v>
          </cell>
          <cell r="C184" t="str">
            <v>NCT of Delhi</v>
          </cell>
          <cell r="D184" t="str">
            <v>IPE Global Limited</v>
          </cell>
          <cell r="E184"/>
          <cell r="F184" t="str">
            <v>Public Limited Company</v>
          </cell>
          <cell r="G184" t="str">
            <v>Agriculture, Food Processing &amp; Supply Chain</v>
          </cell>
          <cell r="H184" t="str">
            <v>Capacity building &amp; Impact Assessment</v>
          </cell>
        </row>
        <row r="185">
          <cell r="B185" t="str">
            <v>PP00170</v>
          </cell>
          <cell r="C185" t="str">
            <v>NCT of Delhi</v>
          </cell>
          <cell r="D185" t="str">
            <v>National Buildings Construction Corporation</v>
          </cell>
          <cell r="E185" t="str">
            <v>Ministry of Housing and Urban Affairs</v>
          </cell>
          <cell r="F185" t="str">
            <v>PSU</v>
          </cell>
          <cell r="G185" t="str">
            <v>Structural &amp; Utilities Management</v>
          </cell>
          <cell r="H185" t="str">
            <v>TPI/TPA/TPE/TPQA</v>
          </cell>
        </row>
        <row r="186">
          <cell r="B186" t="str">
            <v>PP00171</v>
          </cell>
          <cell r="C186" t="str">
            <v>Pan India</v>
          </cell>
          <cell r="D186" t="str">
            <v>Department of Administrative Reforms and Public Grievances</v>
          </cell>
          <cell r="E186" t="str">
            <v>Ministry of Personnel, Public Grievances and Pensions</v>
          </cell>
          <cell r="F186"/>
          <cell r="G186" t="str">
            <v>Governanace, Administration &amp; Digital Infrastructure</v>
          </cell>
          <cell r="H186" t="str">
            <v>Capacity building &amp; Impact Assessment</v>
          </cell>
        </row>
        <row r="187">
          <cell r="B187" t="str">
            <v>PP00172</v>
          </cell>
          <cell r="C187" t="str">
            <v>NCT of Delhi</v>
          </cell>
          <cell r="D187" t="str">
            <v>New Delhi Municipal Council</v>
          </cell>
          <cell r="E187"/>
          <cell r="F187"/>
          <cell r="G187" t="str">
            <v>Structural &amp; Utilities Management</v>
          </cell>
          <cell r="H187" t="str">
            <v>TPI/TPA/TPE/TPQA</v>
          </cell>
        </row>
        <row r="188">
          <cell r="B188" t="str">
            <v>PP00173</v>
          </cell>
          <cell r="C188" t="str">
            <v>Madhya Pradesh</v>
          </cell>
          <cell r="D188" t="str">
            <v>Bhopal Municipal Corporation</v>
          </cell>
          <cell r="E188" t="str">
            <v>Government of Madhya Pradesh</v>
          </cell>
          <cell r="F188" t="str">
            <v>State Govt.</v>
          </cell>
          <cell r="G188" t="str">
            <v>Water &amp; Sanitation</v>
          </cell>
          <cell r="H188" t="str">
            <v>TPI/TPA/TPE/TPQA</v>
          </cell>
        </row>
        <row r="189">
          <cell r="B189" t="str">
            <v>PP00174</v>
          </cell>
          <cell r="C189" t="str">
            <v>Lakshadweep, Daman &amp; Diu, Dadra &amp; Nagar Haveli</v>
          </cell>
          <cell r="D189"/>
          <cell r="E189"/>
          <cell r="F189"/>
          <cell r="G189" t="str">
            <v>Governanace, Administration &amp; Digital Infrastructure</v>
          </cell>
          <cell r="H189" t="str">
            <v>Capacity building &amp; Impact Assessment</v>
          </cell>
        </row>
        <row r="190">
          <cell r="B190" t="str">
            <v>PP00175</v>
          </cell>
          <cell r="C190" t="str">
            <v>Pan India</v>
          </cell>
          <cell r="D190"/>
          <cell r="E190" t="str">
            <v>Ministry of Housing and Urban Affairs</v>
          </cell>
          <cell r="F190" t="str">
            <v>Ministry</v>
          </cell>
          <cell r="G190" t="str">
            <v>Financial Mgmt, Policy Analysis &amp; Research</v>
          </cell>
          <cell r="H190" t="str">
            <v>Capacity building &amp; Impact Assessment</v>
          </cell>
        </row>
        <row r="191">
          <cell r="B191" t="str">
            <v>PP00176</v>
          </cell>
          <cell r="C191" t="str">
            <v>Uttar Pradesh</v>
          </cell>
          <cell r="D191" t="str">
            <v>Uttar pradesh</v>
          </cell>
          <cell r="E191" t="str">
            <v>Government of Uttar Pradesh</v>
          </cell>
          <cell r="F191" t="str">
            <v>State Govt.</v>
          </cell>
          <cell r="G191" t="str">
            <v>Structural &amp; Utilities Management</v>
          </cell>
          <cell r="H191" t="str">
            <v>TPI/TPA/TPE/TPQA</v>
          </cell>
        </row>
        <row r="192">
          <cell r="B192" t="str">
            <v>PP00177</v>
          </cell>
          <cell r="C192" t="str">
            <v>Uttar Pradesh</v>
          </cell>
          <cell r="D192" t="str">
            <v>Construction &amp; Design Services U.P. Jal Nigam</v>
          </cell>
          <cell r="E192" t="str">
            <v>Government of Uttar Pradesh</v>
          </cell>
          <cell r="F192" t="str">
            <v>State Govt.</v>
          </cell>
          <cell r="G192" t="str">
            <v>Structural &amp; Utilities Management</v>
          </cell>
          <cell r="H192" t="str">
            <v>TPI/TPA/TPE/TPQA</v>
          </cell>
        </row>
        <row r="193">
          <cell r="B193" t="str">
            <v>PP00178</v>
          </cell>
          <cell r="C193" t="str">
            <v>Jammu &amp; Kashmir</v>
          </cell>
          <cell r="D193" t="str">
            <v>Capacity Building Commission</v>
          </cell>
          <cell r="E193" t="str">
            <v>Capacity Building Commission</v>
          </cell>
          <cell r="F193" t="str">
            <v>Ministry</v>
          </cell>
          <cell r="G193" t="str">
            <v>Social Welfare, Education &amp; Skill Development</v>
          </cell>
          <cell r="H193" t="str">
            <v>TPI/TPA/TPE/TPQA</v>
          </cell>
        </row>
        <row r="194">
          <cell r="B194" t="str">
            <v>PP00179</v>
          </cell>
          <cell r="C194" t="str">
            <v>Pan India</v>
          </cell>
          <cell r="D194" t="str">
            <v>Virgo Communications and Exhibitions Pvt. Ltd.</v>
          </cell>
          <cell r="E194"/>
          <cell r="F194" t="str">
            <v>Corporate</v>
          </cell>
          <cell r="G194" t="str">
            <v>Governanace, Administration &amp; Digital Infrastructure</v>
          </cell>
          <cell r="H194" t="str">
            <v>Capacity building &amp; Impact Assessment</v>
          </cell>
        </row>
        <row r="195">
          <cell r="B195" t="str">
            <v>PP00180</v>
          </cell>
          <cell r="C195" t="str">
            <v>Pan India</v>
          </cell>
          <cell r="D195" t="str">
            <v>Heritage Cities Division</v>
          </cell>
          <cell r="E195" t="str">
            <v>Ministry of Housing and Urban Affairs</v>
          </cell>
          <cell r="F195" t="str">
            <v>Ministry</v>
          </cell>
          <cell r="G195" t="str">
            <v>Arts, Culture &amp; Tourism</v>
          </cell>
          <cell r="H195" t="str">
            <v>Capacity building &amp; Impact Assessment</v>
          </cell>
        </row>
        <row r="196">
          <cell r="B196" t="str">
            <v>PP00181</v>
          </cell>
          <cell r="C196" t="str">
            <v>Pan India</v>
          </cell>
          <cell r="D196"/>
          <cell r="E196" t="str">
            <v>Ministry of Home Affairs</v>
          </cell>
          <cell r="F196" t="str">
            <v>Ministry</v>
          </cell>
          <cell r="G196" t="str">
            <v>Governanace, Administration &amp; Digital Infrastructure</v>
          </cell>
          <cell r="H196" t="str">
            <v>Capacity building &amp; Impact Assessment</v>
          </cell>
        </row>
        <row r="197">
          <cell r="B197" t="str">
            <v>PP00182</v>
          </cell>
          <cell r="C197" t="str">
            <v>Pan India</v>
          </cell>
          <cell r="D197" t="str">
            <v>Central Warehousing Corporation</v>
          </cell>
          <cell r="E197"/>
          <cell r="F197"/>
          <cell r="G197" t="str">
            <v>Agriculture, Food Processing &amp; Supply Chain</v>
          </cell>
          <cell r="H197" t="str">
            <v>TPI/TPA/TPE/TPQA</v>
          </cell>
        </row>
        <row r="198">
          <cell r="B198" t="str">
            <v>PP00183</v>
          </cell>
          <cell r="C198" t="str">
            <v>Maharashtra</v>
          </cell>
          <cell r="D198" t="str">
            <v>General Administration Department</v>
          </cell>
          <cell r="E198" t="str">
            <v>Government of Maharashtra</v>
          </cell>
          <cell r="F198" t="str">
            <v>State Govt.</v>
          </cell>
          <cell r="G198" t="str">
            <v>Governanace, Administration &amp; Digital Infrastructure</v>
          </cell>
          <cell r="H198" t="str">
            <v>TPI/TPA/TPE/TPQA</v>
          </cell>
        </row>
        <row r="199">
          <cell r="B199" t="str">
            <v>PP00184</v>
          </cell>
          <cell r="C199" t="str">
            <v>Tamil Nadu</v>
          </cell>
          <cell r="D199" t="str">
            <v>PMRF, IIT Madras</v>
          </cell>
          <cell r="E199" t="str">
            <v>Autonomous Body</v>
          </cell>
          <cell r="F199" t="str">
            <v>University</v>
          </cell>
          <cell r="G199" t="str">
            <v>Social Welfare, Education &amp; Skill Development</v>
          </cell>
          <cell r="H199" t="str">
            <v>TPI/TPA/TPE/TPQA</v>
          </cell>
        </row>
        <row r="200">
          <cell r="B200" t="str">
            <v>PP00185</v>
          </cell>
          <cell r="C200" t="str">
            <v>Pan India</v>
          </cell>
          <cell r="D200" t="str">
            <v>Central Warehousing Corporation</v>
          </cell>
          <cell r="E200" t="str">
            <v>Public Sector Enterprise</v>
          </cell>
          <cell r="F200" t="str">
            <v>PSU</v>
          </cell>
          <cell r="G200" t="str">
            <v>Agriculture, Food Processing &amp; Supply Chain</v>
          </cell>
          <cell r="H200" t="str">
            <v>TPI/TPA/TPE/TPQA</v>
          </cell>
        </row>
        <row r="201">
          <cell r="B201" t="str">
            <v>PP00186</v>
          </cell>
          <cell r="C201" t="str">
            <v>Uttar Pradesh</v>
          </cell>
          <cell r="D201" t="str">
            <v>UP Projects Corporation Ltd. (UPPCL)</v>
          </cell>
          <cell r="E201" t="str">
            <v>Government of Uttar Pradesh</v>
          </cell>
          <cell r="F201" t="str">
            <v>State Govt.</v>
          </cell>
          <cell r="G201" t="str">
            <v>Structural &amp; Utilities Management</v>
          </cell>
          <cell r="H201" t="str">
            <v>TPI/TPA/TPE/TPQA</v>
          </cell>
        </row>
        <row r="202">
          <cell r="B202" t="str">
            <v>PP00187</v>
          </cell>
          <cell r="C202" t="str">
            <v>Bihar</v>
          </cell>
          <cell r="D202" t="str">
            <v>Bihar Institute of Public Administration and Rural Development (BIPARD)</v>
          </cell>
          <cell r="E202" t="str">
            <v>Government of of Bihar</v>
          </cell>
          <cell r="F202" t="str">
            <v>State Govt.</v>
          </cell>
          <cell r="G202" t="str">
            <v>Structural &amp; Utilities Management</v>
          </cell>
          <cell r="H202" t="str">
            <v>TPI/TPA/TPE/TPQA</v>
          </cell>
        </row>
        <row r="203">
          <cell r="B203" t="str">
            <v>PP00188</v>
          </cell>
          <cell r="C203" t="str">
            <v>Andhra Pradesh</v>
          </cell>
          <cell r="D203"/>
          <cell r="E203" t="str">
            <v>Government of Andhra Pradesh</v>
          </cell>
          <cell r="F203" t="str">
            <v>State Govt.</v>
          </cell>
          <cell r="G203" t="str">
            <v>Social Welfare, Education &amp; Skill Development</v>
          </cell>
          <cell r="H203" t="str">
            <v>TPI/TPA/TPE/TPQA</v>
          </cell>
        </row>
        <row r="204">
          <cell r="B204" t="str">
            <v>PP00189</v>
          </cell>
          <cell r="C204" t="str">
            <v>Pan India</v>
          </cell>
          <cell r="D204"/>
          <cell r="E204" t="str">
            <v>Ministry of Home Affairs</v>
          </cell>
          <cell r="F204" t="str">
            <v>Ministry</v>
          </cell>
          <cell r="G204" t="str">
            <v>Financial Mgmt, Policy Analysis &amp; Research</v>
          </cell>
          <cell r="H204" t="str">
            <v>Others</v>
          </cell>
        </row>
        <row r="205">
          <cell r="B205" t="str">
            <v>PP00190</v>
          </cell>
          <cell r="C205" t="str">
            <v>Pan India</v>
          </cell>
          <cell r="D205"/>
          <cell r="E205"/>
          <cell r="F205"/>
          <cell r="G205" t="str">
            <v>Governanace, Administration &amp; Digital Infrastructure</v>
          </cell>
          <cell r="H205" t="str">
            <v>Capacity building &amp; Impact Assessment</v>
          </cell>
        </row>
        <row r="206">
          <cell r="B206" t="str">
            <v>PP00191</v>
          </cell>
          <cell r="C206" t="str">
            <v>Andhra Pradesh</v>
          </cell>
          <cell r="D206"/>
          <cell r="E206" t="str">
            <v>Government of Andhra Pradesh</v>
          </cell>
          <cell r="F206" t="str">
            <v>State Govt.</v>
          </cell>
          <cell r="G206" t="str">
            <v>Social Welfare, Education &amp; Skill Development</v>
          </cell>
          <cell r="H206" t="str">
            <v>TPI/TPA/TPE/TPQA</v>
          </cell>
        </row>
        <row r="207">
          <cell r="B207" t="str">
            <v>PP00192</v>
          </cell>
          <cell r="C207" t="str">
            <v>Pan India</v>
          </cell>
          <cell r="D207" t="str">
            <v>Department of Promotion of Industry and Internal Trade</v>
          </cell>
          <cell r="E207" t="str">
            <v>Ministry of Commerce and Industry</v>
          </cell>
          <cell r="F207" t="str">
            <v>Ministry</v>
          </cell>
          <cell r="G207" t="str">
            <v>Governanace, Administration &amp; Digital Infrastructure</v>
          </cell>
          <cell r="H207" t="str">
            <v>Others</v>
          </cell>
        </row>
        <row r="208">
          <cell r="B208" t="str">
            <v>PP00193</v>
          </cell>
          <cell r="C208" t="str">
            <v>NCT of Delhi</v>
          </cell>
          <cell r="D208" t="str">
            <v>New Delhi Municipal Council</v>
          </cell>
          <cell r="E208" t="str">
            <v>Government of NCT of Delhi</v>
          </cell>
          <cell r="F208" t="str">
            <v>State Govt.</v>
          </cell>
          <cell r="G208" t="str">
            <v>Social Welfare, Education &amp; Skill Development</v>
          </cell>
          <cell r="H208" t="str">
            <v>TPI/TPA/TPE/TPQA</v>
          </cell>
        </row>
        <row r="209">
          <cell r="B209" t="str">
            <v>PP00194</v>
          </cell>
          <cell r="C209" t="str">
            <v>Pan India</v>
          </cell>
          <cell r="D209" t="str">
            <v>Food Safety and Standards Authority of India</v>
          </cell>
          <cell r="E209" t="str">
            <v>Statutory Body under Ministry of Health and Family Welfare</v>
          </cell>
          <cell r="F209" t="str">
            <v>Statutory Body</v>
          </cell>
          <cell r="G209" t="str">
            <v>Agriculture, Food Processing &amp; Supply Chain</v>
          </cell>
          <cell r="H209" t="str">
            <v>TPI/TPA/TPE/TPQA</v>
          </cell>
        </row>
        <row r="210">
          <cell r="B210" t="str">
            <v>PP00195</v>
          </cell>
          <cell r="C210" t="str">
            <v>Uttar Pradesh</v>
          </cell>
          <cell r="D210" t="str">
            <v>U.P. State Construction And Infrastructure Development Corporation Limited</v>
          </cell>
          <cell r="E210" t="str">
            <v>Government of Uttar Pradesh</v>
          </cell>
          <cell r="F210" t="str">
            <v>State Govt.</v>
          </cell>
          <cell r="G210" t="str">
            <v>Structural &amp; Utilities Management</v>
          </cell>
          <cell r="H210" t="str">
            <v>TPI/TPA/TPE/TPQA</v>
          </cell>
        </row>
        <row r="211">
          <cell r="B211" t="str">
            <v>PP00196</v>
          </cell>
          <cell r="C211" t="str">
            <v>Uttar Pradesh</v>
          </cell>
          <cell r="D211" t="str">
            <v>UP Projects Corporation Ltd.</v>
          </cell>
          <cell r="E211" t="str">
            <v>Government of Uttar Pradesh</v>
          </cell>
          <cell r="F211" t="str">
            <v>State Govt.</v>
          </cell>
          <cell r="G211" t="str">
            <v>Structural &amp; Utilities Management</v>
          </cell>
          <cell r="H211" t="str">
            <v>TPI/TPA/TPE/TPQA</v>
          </cell>
        </row>
        <row r="212">
          <cell r="B212" t="str">
            <v>PP00197</v>
          </cell>
          <cell r="C212" t="str">
            <v>Madhya Pradesh</v>
          </cell>
          <cell r="D212" t="str">
            <v xml:space="preserve">Lanco Amarkantak </v>
          </cell>
          <cell r="E212"/>
          <cell r="F212" t="str">
            <v>Corporate</v>
          </cell>
          <cell r="G212" t="str">
            <v>Mining &amp; Metallurgy</v>
          </cell>
          <cell r="H212" t="str">
            <v>TPI/TPA/TPE/TPQA</v>
          </cell>
        </row>
        <row r="213">
          <cell r="B213" t="str">
            <v>PP00198</v>
          </cell>
          <cell r="C213" t="str">
            <v>Himachal Pradesh</v>
          </cell>
          <cell r="D213" t="str">
            <v>Central University of Himachal Pradesh</v>
          </cell>
          <cell r="E213" t="str">
            <v>Government. of Himachal Pradesh</v>
          </cell>
          <cell r="F213" t="str">
            <v>University</v>
          </cell>
          <cell r="G213" t="str">
            <v>Structural &amp; Utilities Management</v>
          </cell>
          <cell r="H213" t="str">
            <v>TPI/TPA/TPE/TPQA</v>
          </cell>
        </row>
        <row r="214">
          <cell r="B214" t="str">
            <v>PP00199</v>
          </cell>
          <cell r="C214" t="str">
            <v>Pan India</v>
          </cell>
          <cell r="D214"/>
          <cell r="E214" t="str">
            <v>Ministry of Consumer Affairs, Food and Public Distribution</v>
          </cell>
          <cell r="F214" t="str">
            <v>Ministry</v>
          </cell>
          <cell r="G214" t="str">
            <v>Governanace, Administration &amp; Digital Infrastructure</v>
          </cell>
          <cell r="H214" t="str">
            <v>TPI/TPA/TPE/TPQA</v>
          </cell>
        </row>
        <row r="215">
          <cell r="B215" t="str">
            <v>PP00200</v>
          </cell>
          <cell r="C215" t="str">
            <v>NCT of Delhi</v>
          </cell>
          <cell r="D215" t="str">
            <v>National Buildings Construction Corporation</v>
          </cell>
          <cell r="E215" t="str">
            <v>Ministry of Housing and Urban Affairs</v>
          </cell>
          <cell r="F215" t="str">
            <v>PSU</v>
          </cell>
          <cell r="G215" t="str">
            <v>Structural &amp; Utilities Management</v>
          </cell>
          <cell r="H215" t="str">
            <v>TPI/TPA/TPE/TPQA</v>
          </cell>
        </row>
        <row r="216">
          <cell r="B216" t="str">
            <v>PP00201</v>
          </cell>
          <cell r="C216" t="str">
            <v>Uttar Pradesh</v>
          </cell>
          <cell r="D216" t="str">
            <v>U.P. State Construction And Infrastructure Development Corporation Limited</v>
          </cell>
          <cell r="E216" t="str">
            <v>Government of Uttar Pradesh</v>
          </cell>
          <cell r="F216" t="str">
            <v>State Govt.</v>
          </cell>
          <cell r="G216" t="str">
            <v>Structural &amp; Utilities Management</v>
          </cell>
          <cell r="H216" t="str">
            <v>TPI/TPA/TPE/TPQA</v>
          </cell>
        </row>
        <row r="217">
          <cell r="B217" t="str">
            <v>PP00202</v>
          </cell>
          <cell r="C217" t="str">
            <v>Uttarakhand</v>
          </cell>
          <cell r="D217" t="str">
            <v>Project Implementation Unit (PIU), PWD Thuligad Tanakpur</v>
          </cell>
          <cell r="E217" t="str">
            <v>Government of Uttarakhand</v>
          </cell>
          <cell r="F217" t="str">
            <v>State Govt.</v>
          </cell>
          <cell r="G217" t="str">
            <v>Structural &amp; Utilities Management</v>
          </cell>
          <cell r="H217" t="str">
            <v>TPI/TPA/TPE/TPQA</v>
          </cell>
        </row>
        <row r="218">
          <cell r="B218" t="str">
            <v>PP00203</v>
          </cell>
          <cell r="C218" t="str">
            <v>Uttar Pradesh</v>
          </cell>
          <cell r="D218"/>
          <cell r="E218" t="str">
            <v>Government of Uttar Pradesh</v>
          </cell>
          <cell r="F218" t="str">
            <v>State Govt.</v>
          </cell>
          <cell r="G218" t="str">
            <v>Structural &amp; Utilities Management</v>
          </cell>
          <cell r="H218" t="str">
            <v>TPI/TPA/TPE/TPQA</v>
          </cell>
        </row>
        <row r="219">
          <cell r="B219" t="str">
            <v>PP00204</v>
          </cell>
          <cell r="C219" t="str">
            <v>Rajasthan</v>
          </cell>
          <cell r="D219" t="str">
            <v>Rajasthan Rajya Vidyut Utpadan Nigam</v>
          </cell>
          <cell r="E219" t="str">
            <v>Government of Rajasthan</v>
          </cell>
          <cell r="F219" t="str">
            <v>State Govt.</v>
          </cell>
          <cell r="G219" t="str">
            <v>Mining &amp; Metallurgy</v>
          </cell>
          <cell r="H219" t="str">
            <v>TPI/TPA/TPE/TPQA</v>
          </cell>
        </row>
        <row r="220">
          <cell r="B220" t="str">
            <v>PP00205</v>
          </cell>
          <cell r="C220" t="str">
            <v>Haryana</v>
          </cell>
          <cell r="D220" t="str">
            <v>Public Health Engineering Department</v>
          </cell>
          <cell r="E220" t="str">
            <v>Government of Haryana</v>
          </cell>
          <cell r="F220" t="str">
            <v>State Govt.</v>
          </cell>
          <cell r="G220" t="str">
            <v>Water &amp; Sanitation</v>
          </cell>
          <cell r="H220" t="str">
            <v>PMU/PMC</v>
          </cell>
        </row>
        <row r="221">
          <cell r="B221" t="str">
            <v>PP00206</v>
          </cell>
          <cell r="C221" t="str">
            <v>Pan India</v>
          </cell>
          <cell r="D221" t="str">
            <v>National Horticulture Board</v>
          </cell>
          <cell r="E221" t="str">
            <v>Ministry of Agriculture &amp; Farmers Welfare</v>
          </cell>
          <cell r="F221" t="str">
            <v>Ministry</v>
          </cell>
          <cell r="G221" t="str">
            <v>Agriculture, Food Processing &amp; Supply Chain</v>
          </cell>
          <cell r="H221" t="str">
            <v>TPI/TPA/TPE/TPQA</v>
          </cell>
        </row>
        <row r="222">
          <cell r="B222" t="str">
            <v>PP00207</v>
          </cell>
          <cell r="C222" t="str">
            <v>Lakshadweep, Daman &amp; Diu, Dadra &amp; Nagar Haveli</v>
          </cell>
          <cell r="D222" t="str">
            <v>Administration of Lakshadweep</v>
          </cell>
          <cell r="E222" t="str">
            <v>Administration of Lakshadweep</v>
          </cell>
          <cell r="F222" t="str">
            <v>UT</v>
          </cell>
          <cell r="G222" t="str">
            <v>Water &amp; Sanitation</v>
          </cell>
          <cell r="H222" t="str">
            <v>TPI/TPA/TPE/TPQA</v>
          </cell>
        </row>
        <row r="223">
          <cell r="B223" t="str">
            <v>PP00208</v>
          </cell>
          <cell r="C223" t="str">
            <v>Pan India</v>
          </cell>
          <cell r="D223"/>
          <cell r="E223" t="str">
            <v>Ministry of Road Transport and Highways</v>
          </cell>
          <cell r="F223" t="str">
            <v>Ministry</v>
          </cell>
          <cell r="G223" t="str">
            <v>Governanace, Administration &amp; Digital Infrastructure</v>
          </cell>
          <cell r="H223" t="str">
            <v>Capacity building &amp; Impact Assessment</v>
          </cell>
        </row>
        <row r="224">
          <cell r="B224" t="str">
            <v>PP00209</v>
          </cell>
          <cell r="C224" t="str">
            <v>Uttar Pradesh</v>
          </cell>
          <cell r="D224" t="str">
            <v>Construction &amp; Design Services U.P. Jal Nigam</v>
          </cell>
          <cell r="E224" t="str">
            <v>Government of Uttar Pradesh</v>
          </cell>
          <cell r="F224" t="str">
            <v>State Govt.</v>
          </cell>
          <cell r="G224" t="str">
            <v>Structural &amp; Utilities Management</v>
          </cell>
          <cell r="H224" t="str">
            <v>TPI/TPA/TPE/TPQA</v>
          </cell>
        </row>
        <row r="225">
          <cell r="B225" t="str">
            <v>PP00210</v>
          </cell>
          <cell r="C225" t="str">
            <v>Pan India</v>
          </cell>
          <cell r="D225"/>
          <cell r="E225" t="str">
            <v>Ministry of Housing and Urban Affairs</v>
          </cell>
          <cell r="F225" t="str">
            <v>Ministry</v>
          </cell>
          <cell r="G225" t="str">
            <v>Governanace, Administration &amp; Digital Infrastructure</v>
          </cell>
          <cell r="H225" t="str">
            <v>Capacity building &amp; Impact Assessment</v>
          </cell>
        </row>
        <row r="226">
          <cell r="B226" t="str">
            <v>PP00211</v>
          </cell>
          <cell r="C226" t="str">
            <v>Andhra Pradesh</v>
          </cell>
          <cell r="D226" t="str">
            <v>Department of Education</v>
          </cell>
          <cell r="E226" t="str">
            <v>Government of Andhra Pradesh</v>
          </cell>
          <cell r="F226" t="str">
            <v>State Govt.</v>
          </cell>
          <cell r="G226" t="str">
            <v>Social Welfare, Education &amp; Skill Development</v>
          </cell>
          <cell r="H226" t="str">
            <v>TPI/TPA/TPE/TPQA</v>
          </cell>
        </row>
        <row r="227">
          <cell r="B227" t="str">
            <v>PP00212</v>
          </cell>
          <cell r="C227" t="str">
            <v>Pan India</v>
          </cell>
          <cell r="D227" t="str">
            <v>Bureau of Indian Standards</v>
          </cell>
          <cell r="E227" t="str">
            <v>Ministry of Consumer Affairs, Food and Public Distribution</v>
          </cell>
          <cell r="F227" t="str">
            <v>Ministry</v>
          </cell>
          <cell r="G227" t="str">
            <v>Governanace, Administration &amp; Digital Infrastructure</v>
          </cell>
          <cell r="H227" t="str">
            <v>TPI/TPA/TPE/TPQA</v>
          </cell>
        </row>
        <row r="228">
          <cell r="B228" t="str">
            <v>PP00213</v>
          </cell>
          <cell r="C228" t="str">
            <v>Pan India</v>
          </cell>
          <cell r="D228"/>
          <cell r="E228" t="str">
            <v>Ministry of Fisheries, Animal Husbandry and Dairying</v>
          </cell>
          <cell r="F228" t="str">
            <v>Ministry</v>
          </cell>
          <cell r="G228" t="str">
            <v>Agriculture, Food Processing &amp; Supply Chain</v>
          </cell>
          <cell r="H228" t="str">
            <v>TPI/TPA/TPE/TPQA</v>
          </cell>
        </row>
        <row r="229">
          <cell r="B229" t="str">
            <v>PP00214</v>
          </cell>
          <cell r="C229" t="str">
            <v>Pan India</v>
          </cell>
          <cell r="D229" t="str">
            <v>Central Bureau of Communication</v>
          </cell>
          <cell r="E229" t="str">
            <v>Ministry of Information and Broadcasting of India</v>
          </cell>
          <cell r="F229" t="str">
            <v>Ministry</v>
          </cell>
          <cell r="G229" t="str">
            <v>Social Welfare, Education &amp; Skill Development</v>
          </cell>
          <cell r="H229" t="str">
            <v>TPI/TPA/TPE/TPQA</v>
          </cell>
        </row>
        <row r="230">
          <cell r="B230" t="str">
            <v>PP00215</v>
          </cell>
          <cell r="C230" t="str">
            <v>Pan India</v>
          </cell>
          <cell r="D230"/>
          <cell r="E230" t="str">
            <v>Ministry of Agriculture &amp; Farmers Welfare</v>
          </cell>
          <cell r="F230" t="str">
            <v>Ministry</v>
          </cell>
          <cell r="G230" t="str">
            <v>Social Welfare, Education &amp; Skill Development</v>
          </cell>
          <cell r="H230" t="str">
            <v>TPI/TPA/TPE/TPQA</v>
          </cell>
        </row>
        <row r="231">
          <cell r="B231" t="str">
            <v>PP00216</v>
          </cell>
          <cell r="C231" t="str">
            <v>Maharashtra</v>
          </cell>
          <cell r="D231"/>
          <cell r="E231" t="str">
            <v>Government of Maharashtra</v>
          </cell>
          <cell r="F231" t="str">
            <v>State Govt.</v>
          </cell>
          <cell r="G231" t="str">
            <v>Governanace, Administration &amp; Digital Infrastructure</v>
          </cell>
          <cell r="H231" t="str">
            <v>Capacity building &amp; Impact Assessment</v>
          </cell>
        </row>
        <row r="232">
          <cell r="B232" t="str">
            <v>PP00217</v>
          </cell>
          <cell r="C232" t="str">
            <v>Pan India</v>
          </cell>
          <cell r="D232"/>
          <cell r="E232" t="str">
            <v>Ministry of Consumer Affairs, Food and Public Distribution</v>
          </cell>
          <cell r="F232" t="str">
            <v>Ministry</v>
          </cell>
          <cell r="G232" t="str">
            <v>Agriculture, Food Processing &amp; Supply Chain</v>
          </cell>
          <cell r="H232" t="str">
            <v>TPI/TPA/TPE/TPQA</v>
          </cell>
        </row>
        <row r="233">
          <cell r="B233" t="str">
            <v>PP00218</v>
          </cell>
          <cell r="C233" t="str">
            <v>Gujarat</v>
          </cell>
          <cell r="D233" t="str">
            <v>Gujarat State Road Transport Corporation (GSRTC)</v>
          </cell>
          <cell r="E233" t="str">
            <v>Government of Gujarat</v>
          </cell>
          <cell r="F233" t="str">
            <v>State Govt.</v>
          </cell>
          <cell r="G233" t="str">
            <v>Water &amp; Sanitation</v>
          </cell>
          <cell r="H233" t="str">
            <v>TPI/TPA/TPE/TPQA</v>
          </cell>
        </row>
        <row r="234">
          <cell r="B234" t="str">
            <v>PP00219</v>
          </cell>
          <cell r="C234" t="str">
            <v>Tamil Nadu</v>
          </cell>
          <cell r="D234" t="str">
            <v>TANGEDCO</v>
          </cell>
          <cell r="E234" t="str">
            <v>Government of Tamil Nadu</v>
          </cell>
          <cell r="F234" t="str">
            <v>State Govt.</v>
          </cell>
          <cell r="G234" t="str">
            <v>Mining &amp; Metallurgy</v>
          </cell>
          <cell r="H234" t="str">
            <v>TPI/TPA/TPE/TPQA</v>
          </cell>
        </row>
        <row r="235">
          <cell r="B235" t="str">
            <v>PP00220</v>
          </cell>
          <cell r="C235" t="str">
            <v>Pan India</v>
          </cell>
          <cell r="D235"/>
          <cell r="E235" t="str">
            <v>NTPC</v>
          </cell>
          <cell r="F235" t="str">
            <v>PSU</v>
          </cell>
          <cell r="G235" t="str">
            <v>Mining &amp; Metallurgy</v>
          </cell>
          <cell r="H235" t="str">
            <v>TPI/TPA/TPE/TPQA</v>
          </cell>
        </row>
        <row r="236">
          <cell r="B236" t="str">
            <v>PP00221</v>
          </cell>
          <cell r="C236" t="str">
            <v>Pan India</v>
          </cell>
          <cell r="D236"/>
          <cell r="E236" t="str">
            <v>NUPPL</v>
          </cell>
          <cell r="F236" t="str">
            <v>PSU</v>
          </cell>
          <cell r="G236" t="str">
            <v>Mining &amp; Metallurgy</v>
          </cell>
          <cell r="H236" t="str">
            <v>TPI/TPA/TPE/TPQA</v>
          </cell>
        </row>
        <row r="237">
          <cell r="B237" t="str">
            <v>PP00222</v>
          </cell>
          <cell r="C237" t="str">
            <v>Andhra Pradesh</v>
          </cell>
          <cell r="D237" t="str">
            <v>Department of Education</v>
          </cell>
          <cell r="E237" t="str">
            <v>Government of Andhra Pradesh</v>
          </cell>
          <cell r="F237" t="str">
            <v>State Govt.</v>
          </cell>
          <cell r="G237" t="str">
            <v>Social Welfare, Education &amp; Skill Development</v>
          </cell>
          <cell r="H237" t="str">
            <v>TPI/TPA/TPE/TPQA</v>
          </cell>
        </row>
        <row r="238">
          <cell r="B238" t="str">
            <v>PP00223</v>
          </cell>
          <cell r="C238" t="str">
            <v>Pan India</v>
          </cell>
          <cell r="D238"/>
          <cell r="E238" t="str">
            <v>Ministry of Housing and Urban Affairs</v>
          </cell>
          <cell r="F238" t="str">
            <v>Ministry</v>
          </cell>
          <cell r="G238" t="str">
            <v>Governanace, Administration &amp; Digital Infrastructure</v>
          </cell>
          <cell r="H238" t="str">
            <v>Capacity building &amp; Impact Assessment</v>
          </cell>
        </row>
        <row r="239">
          <cell r="B239" t="str">
            <v>PP00224</v>
          </cell>
          <cell r="C239" t="str">
            <v>Uttar Pradesh</v>
          </cell>
          <cell r="D239" t="str">
            <v>Madhyanchal Vidyut Vitaran Nigam Ltd. (MVVNL)</v>
          </cell>
          <cell r="E239" t="str">
            <v>Government of Uttar Pradesh</v>
          </cell>
          <cell r="F239" t="str">
            <v>State Govt.</v>
          </cell>
          <cell r="G239" t="str">
            <v>Structural &amp; Utilities Management</v>
          </cell>
          <cell r="H239" t="str">
            <v>TPI/TPA/TPE/TPQA</v>
          </cell>
        </row>
        <row r="240">
          <cell r="B240" t="str">
            <v>PP00225</v>
          </cell>
          <cell r="C240" t="str">
            <v>Gujarat</v>
          </cell>
          <cell r="D240" t="str">
            <v>GSECL</v>
          </cell>
          <cell r="E240" t="str">
            <v>Government of Gujarat</v>
          </cell>
          <cell r="F240" t="str">
            <v>State Govt.</v>
          </cell>
          <cell r="G240" t="str">
            <v>Mining &amp; Metallurgy</v>
          </cell>
          <cell r="H240" t="str">
            <v>TPI/TPA/TPE/TPQA</v>
          </cell>
        </row>
        <row r="241">
          <cell r="B241" t="str">
            <v>PP00226</v>
          </cell>
          <cell r="C241" t="str">
            <v>Gujarat</v>
          </cell>
          <cell r="D241" t="str">
            <v>Urban Development and Urban Housing Department</v>
          </cell>
          <cell r="E241" t="str">
            <v>Government of Gujarat</v>
          </cell>
          <cell r="F241" t="str">
            <v>State Govt.</v>
          </cell>
          <cell r="G241" t="str">
            <v>Water &amp; Sanitation</v>
          </cell>
          <cell r="H241" t="str">
            <v>TPI/TPA/TPE/TPQA</v>
          </cell>
        </row>
        <row r="242">
          <cell r="B242" t="str">
            <v>PP00227</v>
          </cell>
          <cell r="C242" t="str">
            <v>Pan India</v>
          </cell>
          <cell r="D242" t="str">
            <v>FCI</v>
          </cell>
          <cell r="E242" t="str">
            <v>Public Sector Enterprise</v>
          </cell>
          <cell r="F242" t="str">
            <v>PSU</v>
          </cell>
          <cell r="G242" t="str">
            <v>Agriculture, Food Processing &amp; Supply Chain</v>
          </cell>
          <cell r="H242" t="str">
            <v>TPI/TPA/TPE/TPQA</v>
          </cell>
        </row>
        <row r="243">
          <cell r="B243" t="str">
            <v>PP00228</v>
          </cell>
          <cell r="C243" t="str">
            <v>Uttar Pradesh</v>
          </cell>
          <cell r="D243" t="str">
            <v>Varanasi Development Authority</v>
          </cell>
          <cell r="E243" t="str">
            <v>Government of Uttar Pradesh</v>
          </cell>
          <cell r="F243" t="str">
            <v>State Govt.</v>
          </cell>
          <cell r="G243" t="str">
            <v>Structural &amp; Utilities Management</v>
          </cell>
          <cell r="H243" t="str">
            <v>TPI/TPA/TPE/TPQA</v>
          </cell>
        </row>
        <row r="244">
          <cell r="B244" t="str">
            <v>PP00229</v>
          </cell>
          <cell r="C244" t="str">
            <v>Pan India</v>
          </cell>
          <cell r="D244" t="str">
            <v>SCCL</v>
          </cell>
          <cell r="E244" t="str">
            <v>Public Sector Enterprise</v>
          </cell>
          <cell r="F244" t="str">
            <v>PSU</v>
          </cell>
          <cell r="G244" t="str">
            <v>Mining &amp; Metallurgy</v>
          </cell>
          <cell r="H244" t="str">
            <v>TPI/TPA/TPE/TPQA</v>
          </cell>
        </row>
        <row r="245">
          <cell r="B245" t="str">
            <v>PP00230</v>
          </cell>
          <cell r="C245" t="str">
            <v>Jharkhand</v>
          </cell>
          <cell r="D245" t="str">
            <v>SAIL CHASNALLA</v>
          </cell>
          <cell r="E245" t="str">
            <v>SAIL CHASNALLA</v>
          </cell>
          <cell r="F245" t="str">
            <v>PSU</v>
          </cell>
          <cell r="G245" t="str">
            <v>Mining &amp; Metallurgy</v>
          </cell>
          <cell r="H245" t="str">
            <v>TPI/TPA/TPE/TPQA</v>
          </cell>
        </row>
        <row r="246">
          <cell r="B246" t="str">
            <v>PP00231</v>
          </cell>
          <cell r="C246" t="str">
            <v>Pan India</v>
          </cell>
          <cell r="D246"/>
          <cell r="E246" t="str">
            <v>Ministry of Culture</v>
          </cell>
          <cell r="F246" t="str">
            <v>Ministry</v>
          </cell>
          <cell r="G246" t="str">
            <v>Arts, Culture &amp; Tourism</v>
          </cell>
          <cell r="H246" t="str">
            <v>Capacity building &amp; Impact Assessment</v>
          </cell>
        </row>
        <row r="247">
          <cell r="B247" t="str">
            <v>PP00232</v>
          </cell>
          <cell r="C247" t="str">
            <v>Pan India</v>
          </cell>
          <cell r="D247"/>
          <cell r="E247" t="str">
            <v>Ministry of Culture</v>
          </cell>
          <cell r="F247" t="str">
            <v>Ministry</v>
          </cell>
          <cell r="G247" t="str">
            <v>Arts, Culture &amp; Tourism</v>
          </cell>
          <cell r="H247" t="str">
            <v>Capacity building &amp; Impact Assessment</v>
          </cell>
        </row>
        <row r="248">
          <cell r="B248" t="str">
            <v>PP00233</v>
          </cell>
          <cell r="C248" t="str">
            <v>Pan India</v>
          </cell>
          <cell r="D248"/>
          <cell r="E248" t="str">
            <v>Ministry of Culture</v>
          </cell>
          <cell r="F248" t="str">
            <v>Ministry</v>
          </cell>
          <cell r="G248" t="str">
            <v>Arts, Culture &amp; Tourism</v>
          </cell>
          <cell r="H248" t="str">
            <v>Capacity building &amp; Impact Assessment</v>
          </cell>
        </row>
        <row r="249">
          <cell r="B249" t="str">
            <v>PP00234</v>
          </cell>
          <cell r="C249" t="str">
            <v>Haryana</v>
          </cell>
          <cell r="D249"/>
          <cell r="E249" t="str">
            <v>Ministry of Agriculture &amp; Farmers Welfare</v>
          </cell>
          <cell r="F249" t="str">
            <v>Ministry</v>
          </cell>
          <cell r="G249" t="str">
            <v>Agriculture, Food Processing &amp; Supply Chain</v>
          </cell>
          <cell r="H249" t="str">
            <v>TPI/TPA/TPE/TPQA</v>
          </cell>
        </row>
        <row r="250">
          <cell r="B250" t="str">
            <v>PP00235</v>
          </cell>
          <cell r="C250" t="str">
            <v>Uttar Pradesh</v>
          </cell>
          <cell r="D250" t="str">
            <v xml:space="preserve">Nagar Nigam, Moradabad </v>
          </cell>
          <cell r="E250" t="str">
            <v>Government of Uttar Pradesh</v>
          </cell>
          <cell r="F250" t="str">
            <v>State Govt.</v>
          </cell>
          <cell r="G250" t="str">
            <v>Structural &amp; Utilities Management</v>
          </cell>
          <cell r="H250" t="str">
            <v>TPI/TPA/TPE/TPQA</v>
          </cell>
        </row>
        <row r="251">
          <cell r="B251" t="str">
            <v>PP00236</v>
          </cell>
          <cell r="C251" t="str">
            <v>Pan India</v>
          </cell>
          <cell r="D251" t="str">
            <v>Ministry of Food Processing &amp; Industries</v>
          </cell>
          <cell r="E251" t="str">
            <v>Ministry of Food Processing &amp; Industries</v>
          </cell>
          <cell r="F251" t="str">
            <v>Ministry</v>
          </cell>
          <cell r="G251" t="str">
            <v>Agriculture, Food Processing &amp; Supply Chain</v>
          </cell>
          <cell r="H251" t="str">
            <v>TPI/TPA/TPE/TPQA</v>
          </cell>
        </row>
        <row r="252">
          <cell r="B252" t="str">
            <v>PP00237</v>
          </cell>
          <cell r="C252" t="str">
            <v>Odisha</v>
          </cell>
          <cell r="D252"/>
          <cell r="E252" t="str">
            <v>Ministry of Coal</v>
          </cell>
          <cell r="F252" t="str">
            <v>Ministry</v>
          </cell>
          <cell r="G252" t="str">
            <v>Mining &amp; Metallurgy</v>
          </cell>
          <cell r="H252" t="str">
            <v>TPI/TPA/TPE/TPQA</v>
          </cell>
        </row>
        <row r="253">
          <cell r="B253" t="str">
            <v>PP00238</v>
          </cell>
          <cell r="C253" t="str">
            <v>Jharkhand</v>
          </cell>
          <cell r="D253" t="str">
            <v>NTPC Limited</v>
          </cell>
          <cell r="E253" t="str">
            <v>Public Sector Enterprise</v>
          </cell>
          <cell r="F253" t="str">
            <v>PSU</v>
          </cell>
          <cell r="G253" t="str">
            <v>Mining &amp; Metallurgy</v>
          </cell>
          <cell r="H253" t="str">
            <v>TPI/TPA/TPE/TPQA</v>
          </cell>
        </row>
        <row r="254">
          <cell r="B254" t="str">
            <v>PP00239</v>
          </cell>
          <cell r="C254" t="str">
            <v>Maharashtra</v>
          </cell>
          <cell r="D254"/>
          <cell r="E254" t="str">
            <v>Government of Maharashtra</v>
          </cell>
          <cell r="F254" t="str">
            <v>State Govt.</v>
          </cell>
          <cell r="G254" t="str">
            <v>Social Welfare, Education &amp; Skill Development</v>
          </cell>
          <cell r="H254" t="str">
            <v>Capacity building &amp; Impact Assessment</v>
          </cell>
        </row>
        <row r="255">
          <cell r="B255" t="str">
            <v>PP00240</v>
          </cell>
          <cell r="C255" t="str">
            <v>Gujarat</v>
          </cell>
          <cell r="D255" t="str">
            <v>Commissionerate of Rural Development</v>
          </cell>
          <cell r="E255" t="str">
            <v>Government of Gujarat</v>
          </cell>
          <cell r="F255" t="str">
            <v>State Govt.</v>
          </cell>
          <cell r="G255" t="str">
            <v>Water &amp; Sanitation</v>
          </cell>
          <cell r="H255" t="str">
            <v>TPI/TPA/TPE/TPQA</v>
          </cell>
        </row>
        <row r="256">
          <cell r="B256" t="str">
            <v>PP00241</v>
          </cell>
          <cell r="C256" t="str">
            <v>Pan India</v>
          </cell>
          <cell r="D256" t="str">
            <v>AMRUT</v>
          </cell>
          <cell r="E256" t="str">
            <v>Ministry of Housing and Urban Affairs</v>
          </cell>
          <cell r="F256" t="str">
            <v>Ministry</v>
          </cell>
          <cell r="G256" t="str">
            <v>Water &amp; Sanitation</v>
          </cell>
          <cell r="H256" t="str">
            <v>TPI/TPA/TPE/TPQA</v>
          </cell>
        </row>
        <row r="257">
          <cell r="B257" t="str">
            <v>PP00242</v>
          </cell>
          <cell r="C257" t="str">
            <v>Pan India</v>
          </cell>
          <cell r="D257" t="str">
            <v>MHA</v>
          </cell>
          <cell r="E257" t="str">
            <v>Ministry of Home Affairs</v>
          </cell>
          <cell r="F257" t="str">
            <v>Ministry</v>
          </cell>
          <cell r="G257" t="str">
            <v>Governanace, Administration &amp; Digital Infrastructure</v>
          </cell>
          <cell r="H257" t="str">
            <v>Others</v>
          </cell>
        </row>
        <row r="258">
          <cell r="B258" t="str">
            <v>PP00243</v>
          </cell>
          <cell r="C258" t="str">
            <v>Uttar Pradesh</v>
          </cell>
          <cell r="D258" t="str">
            <v>Uttar Pradesh State Tourism Development Corporation Ltd. (UPSTDC)</v>
          </cell>
          <cell r="E258" t="str">
            <v>Government of Uttar Pradesh</v>
          </cell>
          <cell r="F258" t="str">
            <v>State Govt.</v>
          </cell>
          <cell r="G258" t="str">
            <v>Structural &amp; Utilities Management</v>
          </cell>
          <cell r="H258" t="str">
            <v>TPI/TPA/TPE/TPQA</v>
          </cell>
        </row>
        <row r="259">
          <cell r="B259" t="str">
            <v>PP00244</v>
          </cell>
          <cell r="C259" t="str">
            <v>Pan India</v>
          </cell>
          <cell r="D259" t="str">
            <v>National Handloom Development Corporation Ltd. (NHDC)</v>
          </cell>
          <cell r="E259" t="str">
            <v>Ministry of Textiles</v>
          </cell>
          <cell r="F259" t="str">
            <v>Ministry</v>
          </cell>
          <cell r="G259" t="str">
            <v>Governanace, Administration &amp; Digital Infrastructure</v>
          </cell>
          <cell r="H259" t="str">
            <v>TPI/TPA/TPE/TPQA</v>
          </cell>
        </row>
        <row r="260">
          <cell r="B260" t="str">
            <v>PP00245</v>
          </cell>
          <cell r="C260" t="str">
            <v>Pan India</v>
          </cell>
          <cell r="D260" t="str">
            <v>CBC</v>
          </cell>
          <cell r="E260" t="str">
            <v>Capacity Building Commission</v>
          </cell>
          <cell r="F260" t="str">
            <v>Ministry</v>
          </cell>
          <cell r="G260" t="str">
            <v>Governanace, Administration &amp; Digital Infrastructure</v>
          </cell>
          <cell r="H260" t="str">
            <v>Capacity building &amp; Impact Assessment</v>
          </cell>
        </row>
        <row r="261">
          <cell r="B261" t="str">
            <v>PP00246</v>
          </cell>
          <cell r="C261" t="str">
            <v>Chattisgarh</v>
          </cell>
          <cell r="D261" t="str">
            <v>Chhattisgarh State Power Generation Company Limited</v>
          </cell>
          <cell r="E261" t="str">
            <v>Government of Chhattisgarh</v>
          </cell>
          <cell r="F261" t="str">
            <v>State Govt.</v>
          </cell>
          <cell r="G261" t="str">
            <v>Mining &amp; Metallurgy</v>
          </cell>
          <cell r="H261" t="str">
            <v>TPI/TPA/TPE/TPQA</v>
          </cell>
        </row>
        <row r="262">
          <cell r="B262" t="str">
            <v>PP00247</v>
          </cell>
          <cell r="C262" t="str">
            <v>Gujarat</v>
          </cell>
          <cell r="D262" t="str">
            <v>Tourism Corporation of Gujarat Limited</v>
          </cell>
          <cell r="E262" t="str">
            <v>Government of Gujarat</v>
          </cell>
          <cell r="F262" t="str">
            <v>State Govt.</v>
          </cell>
          <cell r="G262" t="str">
            <v>Arts, Culture &amp; Tourism</v>
          </cell>
          <cell r="H262" t="str">
            <v>Capacity building &amp; Impact Assessment</v>
          </cell>
        </row>
        <row r="263">
          <cell r="B263" t="str">
            <v>PP00248</v>
          </cell>
          <cell r="C263" t="str">
            <v>Uttar Pradesh</v>
          </cell>
          <cell r="D263" t="str">
            <v xml:space="preserve">Nagar Nigam, Moradabad </v>
          </cell>
          <cell r="E263" t="str">
            <v>Government of Uttar Pradesh</v>
          </cell>
          <cell r="F263" t="str">
            <v>State Govt.</v>
          </cell>
          <cell r="G263" t="str">
            <v>Water &amp; Sanitation</v>
          </cell>
          <cell r="H263" t="str">
            <v>TPI/TPA/TPE/TPQA</v>
          </cell>
        </row>
        <row r="264">
          <cell r="B264" t="str">
            <v>PP00249</v>
          </cell>
          <cell r="C264" t="str">
            <v>Haryana</v>
          </cell>
          <cell r="D264" t="str">
            <v>Public Health Engineering Department</v>
          </cell>
          <cell r="E264" t="str">
            <v>Government of Haryana</v>
          </cell>
          <cell r="F264" t="str">
            <v>State Govt.</v>
          </cell>
          <cell r="G264" t="str">
            <v>Structural &amp; Utilities Management</v>
          </cell>
          <cell r="H264" t="str">
            <v>TPI/TPA/TPE/TPQA</v>
          </cell>
        </row>
        <row r="265">
          <cell r="B265" t="str">
            <v>PP00250</v>
          </cell>
          <cell r="C265" t="str">
            <v>Pan India</v>
          </cell>
          <cell r="D265" t="str">
            <v>MoJS</v>
          </cell>
          <cell r="E265" t="str">
            <v>Ministry of Jal Shakti</v>
          </cell>
          <cell r="F265" t="str">
            <v>Ministry</v>
          </cell>
          <cell r="G265" t="str">
            <v>Water &amp; Sanitation</v>
          </cell>
          <cell r="H265" t="str">
            <v>TPI/TPA/TPE/TPQA</v>
          </cell>
        </row>
        <row r="266">
          <cell r="B266" t="str">
            <v>PP00251</v>
          </cell>
          <cell r="C266" t="str">
            <v>Pan India</v>
          </cell>
          <cell r="D266" t="str">
            <v>MoJS</v>
          </cell>
          <cell r="E266" t="str">
            <v>Ministry of Jal Shakti</v>
          </cell>
          <cell r="F266" t="str">
            <v>Ministry</v>
          </cell>
          <cell r="G266" t="str">
            <v>Water &amp; Sanitation</v>
          </cell>
          <cell r="H266" t="str">
            <v>Capacity building &amp; Impact Assessment</v>
          </cell>
        </row>
        <row r="267">
          <cell r="B267" t="str">
            <v>PP00252</v>
          </cell>
          <cell r="C267" t="str">
            <v>Uttar Pradesh</v>
          </cell>
          <cell r="D267" t="str">
            <v>Agra Municipal Corporation</v>
          </cell>
          <cell r="E267" t="str">
            <v>Government of Uttar Pradesh</v>
          </cell>
          <cell r="F267" t="str">
            <v>State Govt.</v>
          </cell>
          <cell r="G267" t="str">
            <v>Water &amp; Sanitation</v>
          </cell>
          <cell r="H267" t="str">
            <v>TPI/TPA/TPE/TPQA</v>
          </cell>
        </row>
        <row r="268">
          <cell r="B268" t="str">
            <v>PP00253</v>
          </cell>
          <cell r="C268" t="str">
            <v>Uttar Pradesh</v>
          </cell>
          <cell r="D268" t="str">
            <v>U.P. Projects Corporation Limited (UPPCL)</v>
          </cell>
          <cell r="E268" t="str">
            <v xml:space="preserve">U.P. Projects Corporation Limited </v>
          </cell>
          <cell r="F268" t="str">
            <v>Corporate</v>
          </cell>
          <cell r="G268" t="str">
            <v>Structural &amp; Utilities Management</v>
          </cell>
          <cell r="H268" t="str">
            <v>TPI/TPA/TPE/TPQA</v>
          </cell>
        </row>
        <row r="269">
          <cell r="B269" t="str">
            <v>PP00254</v>
          </cell>
          <cell r="C269" t="str">
            <v>Odisha</v>
          </cell>
          <cell r="D269" t="str">
            <v>Odisha State Civil Supplies Corporation (OSCSC)</v>
          </cell>
          <cell r="E269" t="str">
            <v>Government of Odisha</v>
          </cell>
          <cell r="F269" t="str">
            <v>State Govt.</v>
          </cell>
          <cell r="G269" t="str">
            <v>Agriculture, Food Processing &amp; Supply Chain</v>
          </cell>
          <cell r="H269" t="str">
            <v>TPI/TPA/TPE/TPQA</v>
          </cell>
        </row>
        <row r="270">
          <cell r="B270" t="str">
            <v>PP00255</v>
          </cell>
          <cell r="C270" t="str">
            <v>NCT of Delhi</v>
          </cell>
          <cell r="D270" t="str">
            <v>National Buildings Construction Corporation Limited</v>
          </cell>
          <cell r="E270" t="str">
            <v>Ministry of Housing and Urban Affairs</v>
          </cell>
          <cell r="F270" t="str">
            <v>PSU</v>
          </cell>
          <cell r="G270" t="str">
            <v>Structural &amp; Utilities Management</v>
          </cell>
          <cell r="H270" t="str">
            <v>TPI/TPA/TPE/TPQA</v>
          </cell>
        </row>
        <row r="271">
          <cell r="B271" t="str">
            <v>PP00256</v>
          </cell>
          <cell r="C271" t="str">
            <v>Bihar</v>
          </cell>
          <cell r="D271" t="str">
            <v>Bihar Institute of Public Administration &amp; Rural Development (BIPARD)</v>
          </cell>
          <cell r="E271" t="str">
            <v>Government of Bihar</v>
          </cell>
          <cell r="F271" t="str">
            <v>State Govt.</v>
          </cell>
          <cell r="G271" t="str">
            <v>Structural &amp; Utilities Management</v>
          </cell>
          <cell r="H271" t="str">
            <v>PMU/PMC</v>
          </cell>
        </row>
        <row r="272">
          <cell r="B272" t="str">
            <v>PP00257</v>
          </cell>
          <cell r="C272" t="str">
            <v>Andhra Pradesh</v>
          </cell>
          <cell r="D272" t="str">
            <v>Samagra Shiksha, Department of Education</v>
          </cell>
          <cell r="E272" t="str">
            <v>Ministry of Education</v>
          </cell>
          <cell r="F272" t="str">
            <v>Ministry</v>
          </cell>
          <cell r="G272" t="str">
            <v>Social Welfare, Education &amp; Skill Development</v>
          </cell>
          <cell r="H272" t="str">
            <v>TPI/TPA/TPE/TPQA</v>
          </cell>
        </row>
        <row r="273">
          <cell r="B273" t="str">
            <v>PP00258</v>
          </cell>
          <cell r="C273" t="str">
            <v>Pan India</v>
          </cell>
          <cell r="D273"/>
          <cell r="E273" t="str">
            <v>Ministry of Labour &amp; Employment</v>
          </cell>
          <cell r="F273" t="str">
            <v>Ministry</v>
          </cell>
          <cell r="G273" t="str">
            <v>Social Welfare, Education &amp; Skill Development</v>
          </cell>
          <cell r="H273" t="str">
            <v>TPI/TPA/TPE/TPQA</v>
          </cell>
        </row>
        <row r="274">
          <cell r="B274" t="str">
            <v>PP00259</v>
          </cell>
          <cell r="C274" t="str">
            <v>Pan India</v>
          </cell>
          <cell r="D274" t="str">
            <v>FSSAI</v>
          </cell>
          <cell r="E274" t="str">
            <v>Food Safety and Standards Authority of India</v>
          </cell>
          <cell r="F274" t="str">
            <v>Statutory Body</v>
          </cell>
          <cell r="G274" t="str">
            <v>Agriculture, Food Processing &amp; Supply Chain</v>
          </cell>
          <cell r="H274" t="str">
            <v>TPI/TPA/TPE/TPQA</v>
          </cell>
        </row>
        <row r="275">
          <cell r="B275" t="str">
            <v>PP00260</v>
          </cell>
          <cell r="C275" t="str">
            <v>Pan India</v>
          </cell>
          <cell r="D275"/>
          <cell r="E275" t="str">
            <v>Ministry of Culture</v>
          </cell>
          <cell r="F275" t="str">
            <v>Ministry</v>
          </cell>
          <cell r="G275" t="str">
            <v>Arts, Culture &amp; Tourism</v>
          </cell>
          <cell r="H275" t="str">
            <v>Capacity building &amp; Impact Assessment</v>
          </cell>
        </row>
        <row r="276">
          <cell r="B276" t="str">
            <v>PP00261</v>
          </cell>
          <cell r="C276" t="str">
            <v>Pan India</v>
          </cell>
          <cell r="D276" t="str">
            <v>Department of Administrative Reforms and Public Grievances</v>
          </cell>
          <cell r="E276" t="str">
            <v>Ministry of Personnel, Public Grievances and Pensions</v>
          </cell>
          <cell r="F276" t="str">
            <v>Ministry</v>
          </cell>
          <cell r="G276" t="str">
            <v>Governanace, Administration &amp; Digital Infrastructure</v>
          </cell>
          <cell r="H276" t="str">
            <v>PMU/PMC</v>
          </cell>
        </row>
        <row r="277">
          <cell r="B277" t="str">
            <v>PP00262</v>
          </cell>
          <cell r="C277" t="str">
            <v>NCT of Delhi</v>
          </cell>
          <cell r="D277" t="str">
            <v>Jamia Millia Islamia</v>
          </cell>
          <cell r="E277" t="str">
            <v>Ministry of Education</v>
          </cell>
          <cell r="F277" t="str">
            <v>Ministry</v>
          </cell>
          <cell r="G277" t="str">
            <v>Structural &amp; Utilities Management</v>
          </cell>
          <cell r="H277" t="str">
            <v>TPI/TPA/TPE/TPQA</v>
          </cell>
        </row>
        <row r="278">
          <cell r="B278" t="str">
            <v>PP00263</v>
          </cell>
          <cell r="C278" t="str">
            <v>Pan India</v>
          </cell>
          <cell r="D278" t="str">
            <v>Department of Administrative Reforms and Public Grievances</v>
          </cell>
          <cell r="E278" t="str">
            <v>Ministry of Personnel, Public Grievances and Pensions</v>
          </cell>
          <cell r="F278" t="str">
            <v>Ministry</v>
          </cell>
          <cell r="G278" t="str">
            <v>Governanace, Administration &amp; Digital Infrastructure</v>
          </cell>
          <cell r="H278" t="str">
            <v>Capacity building &amp; Impact Assessment</v>
          </cell>
        </row>
        <row r="279">
          <cell r="B279" t="str">
            <v>PP00265</v>
          </cell>
          <cell r="C279" t="str">
            <v>Karnataka</v>
          </cell>
          <cell r="D279" t="str">
            <v>KPCL, RPCL</v>
          </cell>
          <cell r="E279" t="str">
            <v>Government of Karnataka</v>
          </cell>
          <cell r="F279" t="str">
            <v>PSU</v>
          </cell>
          <cell r="G279" t="str">
            <v>Mining &amp; Metallurgy</v>
          </cell>
          <cell r="H279" t="str">
            <v>TPI/TPA/TPE/TPQA</v>
          </cell>
        </row>
        <row r="280">
          <cell r="B280" t="str">
            <v>PP00266</v>
          </cell>
          <cell r="C280" t="str">
            <v>Bihar</v>
          </cell>
          <cell r="D280" t="str">
            <v>Bhopal Municipal Corporation</v>
          </cell>
          <cell r="E280" t="str">
            <v>Government of Bihar</v>
          </cell>
          <cell r="F280" t="str">
            <v>State Gov.</v>
          </cell>
          <cell r="G280" t="str">
            <v>Water &amp; Sanitation</v>
          </cell>
          <cell r="H280" t="str">
            <v>TPI/TPA/TPE/TPQA</v>
          </cell>
        </row>
        <row r="281">
          <cell r="B281" t="str">
            <v>PP00267</v>
          </cell>
          <cell r="C281" t="str">
            <v>Pan India</v>
          </cell>
          <cell r="D281"/>
          <cell r="E281" t="str">
            <v>Ministry of Housing and Urban Affairs</v>
          </cell>
          <cell r="F281" t="str">
            <v>Ministry</v>
          </cell>
          <cell r="G281" t="str">
            <v>Water &amp; Sanitation</v>
          </cell>
          <cell r="H281" t="str">
            <v>TPI/TPA/TPE/TPQA</v>
          </cell>
        </row>
        <row r="282">
          <cell r="B282" t="str">
            <v>PP00268</v>
          </cell>
          <cell r="C282" t="str">
            <v>Odisha</v>
          </cell>
          <cell r="D282" t="str">
            <v>NLC India Limited</v>
          </cell>
          <cell r="E282" t="str">
            <v>Public Sector Enterprise</v>
          </cell>
          <cell r="F282" t="str">
            <v>State Gov.</v>
          </cell>
          <cell r="G282" t="str">
            <v>Structural &amp; Utilities Management</v>
          </cell>
          <cell r="H282" t="str">
            <v>TPI/TPA/TPE/TPQA</v>
          </cell>
        </row>
        <row r="283">
          <cell r="B283" t="str">
            <v>PP00269</v>
          </cell>
          <cell r="C283" t="str">
            <v>Pan India</v>
          </cell>
          <cell r="D283"/>
          <cell r="E283" t="str">
            <v>SEPC</v>
          </cell>
          <cell r="F283"/>
          <cell r="G283" t="str">
            <v>Mining &amp; Metallurgy</v>
          </cell>
          <cell r="H283" t="str">
            <v>TPI/TPA/TPE/TPQA</v>
          </cell>
        </row>
        <row r="284">
          <cell r="B284" t="str">
            <v>PP00270</v>
          </cell>
          <cell r="C284" t="str">
            <v>Pan India</v>
          </cell>
          <cell r="D284" t="str">
            <v>Ministry of Housing and Urban Affairs</v>
          </cell>
          <cell r="E284" t="str">
            <v>Ministry of Housing and Urban Affairs</v>
          </cell>
          <cell r="F284" t="str">
            <v>Ministry</v>
          </cell>
          <cell r="G284" t="str">
            <v>Social Welfare, Education &amp; Skill Development</v>
          </cell>
          <cell r="H284" t="str">
            <v>PMU/PMC</v>
          </cell>
        </row>
        <row r="285">
          <cell r="B285" t="str">
            <v>PP00271</v>
          </cell>
          <cell r="C285" t="str">
            <v>Gujarat</v>
          </cell>
          <cell r="D285" t="str">
            <v>Gujtour Development Company Ltd</v>
          </cell>
          <cell r="E285" t="str">
            <v>Government of Gujarat</v>
          </cell>
          <cell r="F285" t="str">
            <v>State Govt.</v>
          </cell>
          <cell r="G285" t="str">
            <v>Governanace, Administration &amp; Digital Infrastructure</v>
          </cell>
          <cell r="H285" t="str">
            <v>TPI/TPA/TPE/TPQA</v>
          </cell>
        </row>
        <row r="286">
          <cell r="B286" t="str">
            <v>PP00272</v>
          </cell>
          <cell r="C286" t="str">
            <v>Pan India</v>
          </cell>
          <cell r="D286"/>
          <cell r="E286"/>
          <cell r="F286"/>
          <cell r="G286" t="str">
            <v>Others</v>
          </cell>
          <cell r="H286" t="str">
            <v>Others</v>
          </cell>
        </row>
        <row r="287">
          <cell r="B287" t="str">
            <v>PP00273</v>
          </cell>
          <cell r="C287" t="str">
            <v>Pan India</v>
          </cell>
          <cell r="D287" t="str">
            <v>Ministry of Culture</v>
          </cell>
          <cell r="E287" t="str">
            <v>Ministry of Culture</v>
          </cell>
          <cell r="F287" t="str">
            <v>Ministry</v>
          </cell>
          <cell r="G287" t="str">
            <v>Arts, Culture &amp; Tourism</v>
          </cell>
          <cell r="H287" t="str">
            <v>PMU/PMC</v>
          </cell>
        </row>
        <row r="288">
          <cell r="B288" t="str">
            <v>PP00274</v>
          </cell>
          <cell r="C288" t="str">
            <v>Uttar Pradesh</v>
          </cell>
          <cell r="D288" t="str">
            <v>Kanpur Electricity Supply Company</v>
          </cell>
          <cell r="E288" t="str">
            <v>Government of Uttar Pradesh</v>
          </cell>
          <cell r="F288"/>
          <cell r="G288" t="str">
            <v>Infrastructure</v>
          </cell>
          <cell r="H288" t="str">
            <v>TPI/TPA/TPE</v>
          </cell>
        </row>
        <row r="289">
          <cell r="B289" t="str">
            <v>PP00275</v>
          </cell>
          <cell r="C289" t="str">
            <v>Uttar Pradesh</v>
          </cell>
          <cell r="D289" t="str">
            <v>Nagar Nigam Mathura Vrindavan</v>
          </cell>
          <cell r="E289" t="str">
            <v>Government of Uttar Pradesh</v>
          </cell>
          <cell r="F289"/>
          <cell r="G289" t="str">
            <v>Infrastructure</v>
          </cell>
          <cell r="H289" t="str">
            <v>TPI/TPA/TPE</v>
          </cell>
        </row>
        <row r="290">
          <cell r="B290" t="str">
            <v>PP00276</v>
          </cell>
          <cell r="C290" t="str">
            <v>Uttar Pradesh</v>
          </cell>
          <cell r="D290" t="str">
            <v xml:space="preserve">Barelley Development Authority </v>
          </cell>
          <cell r="E290" t="str">
            <v>Government of Uttar Pradesh</v>
          </cell>
          <cell r="F290"/>
          <cell r="G290" t="str">
            <v>Infrastructure</v>
          </cell>
          <cell r="H290" t="str">
            <v>TPI/TPA/TPE</v>
          </cell>
        </row>
        <row r="291">
          <cell r="B291" t="str">
            <v>PP00277</v>
          </cell>
          <cell r="C291" t="str">
            <v>Maharashtra</v>
          </cell>
          <cell r="D291" t="str">
            <v>Government of Maharashtra</v>
          </cell>
          <cell r="E291"/>
          <cell r="F291"/>
          <cell r="G291" t="str">
            <v>Governance</v>
          </cell>
          <cell r="H291" t="str">
            <v>TPI/TPA/TPE</v>
          </cell>
        </row>
        <row r="292">
          <cell r="B292" t="str">
            <v>PP00278</v>
          </cell>
          <cell r="C292" t="str">
            <v>Gujarat</v>
          </cell>
          <cell r="D292" t="str">
            <v>Roads &amp; Buildings Department , Gujarat</v>
          </cell>
          <cell r="E292"/>
          <cell r="F292"/>
          <cell r="G292" t="str">
            <v>R&amp;B</v>
          </cell>
          <cell r="H292" t="str">
            <v>TPI/TPA/TPE</v>
          </cell>
        </row>
        <row r="293">
          <cell r="B293" t="str">
            <v>PP00279</v>
          </cell>
          <cell r="C293" t="str">
            <v>Gujarat</v>
          </cell>
          <cell r="D293" t="str">
            <v>Directorate of Evaluation (DoE), Govt. of Gujarat</v>
          </cell>
          <cell r="E293"/>
          <cell r="F293"/>
          <cell r="G293" t="str">
            <v>Irrigation</v>
          </cell>
          <cell r="H293" t="str">
            <v>TPI/TPA/TPE</v>
          </cell>
        </row>
        <row r="294">
          <cell r="B294" t="str">
            <v>PP00280</v>
          </cell>
          <cell r="C294" t="str">
            <v>Uttar Pradesh</v>
          </cell>
          <cell r="D294" t="str">
            <v>Kanpur Electricity Supply Company</v>
          </cell>
          <cell r="E294" t="str">
            <v>Government of Uttar Pradesh</v>
          </cell>
          <cell r="F294"/>
          <cell r="G294" t="str">
            <v>Infrastructure</v>
          </cell>
          <cell r="H294" t="str">
            <v>TPI/TPA/TPE</v>
          </cell>
        </row>
        <row r="295">
          <cell r="B295" t="str">
            <v>PP00281</v>
          </cell>
          <cell r="C295" t="str">
            <v>Karnataka</v>
          </cell>
          <cell r="D295" t="str">
            <v>NIUA</v>
          </cell>
          <cell r="E295"/>
          <cell r="F295"/>
          <cell r="G295" t="str">
            <v>Water suply</v>
          </cell>
          <cell r="H295" t="str">
            <v>TPI/TPA/TPE</v>
          </cell>
        </row>
        <row r="296">
          <cell r="B296" t="str">
            <v>PP00282</v>
          </cell>
          <cell r="C296"/>
          <cell r="D296"/>
          <cell r="E296"/>
          <cell r="F296"/>
          <cell r="G296"/>
          <cell r="H296"/>
        </row>
        <row r="297">
          <cell r="B297" t="str">
            <v>PP00283</v>
          </cell>
          <cell r="C297" t="str">
            <v>Pan India</v>
          </cell>
          <cell r="D297" t="str">
            <v>Ministry of Culture</v>
          </cell>
          <cell r="E297" t="str">
            <v>Ministry of Culture</v>
          </cell>
          <cell r="F297"/>
          <cell r="G297" t="str">
            <v>Arts, Culture &amp; Heritage</v>
          </cell>
          <cell r="H297" t="str">
            <v>PMU/PMC</v>
          </cell>
        </row>
        <row r="298">
          <cell r="B298" t="str">
            <v>PP00284</v>
          </cell>
          <cell r="C298" t="str">
            <v>Madhya Pradesh</v>
          </cell>
          <cell r="D298" t="str">
            <v>NIUA</v>
          </cell>
          <cell r="E298"/>
          <cell r="F298"/>
          <cell r="G298" t="str">
            <v>Water suply</v>
          </cell>
          <cell r="H298" t="str">
            <v>TPI/TPA/TPE</v>
          </cell>
        </row>
        <row r="299">
          <cell r="B299" t="str">
            <v>PP00285</v>
          </cell>
          <cell r="C299" t="str">
            <v>Uttar Pradesh</v>
          </cell>
          <cell r="D299" t="str">
            <v>U.P. State Archaeology Department</v>
          </cell>
          <cell r="E299" t="str">
            <v>Government of Uttar Pradesh</v>
          </cell>
          <cell r="F299"/>
          <cell r="G299" t="str">
            <v>Infrastructure</v>
          </cell>
          <cell r="H299" t="str">
            <v>TPI/TPA/TPE</v>
          </cell>
        </row>
        <row r="300">
          <cell r="B300" t="str">
            <v>PP00286</v>
          </cell>
          <cell r="C300"/>
          <cell r="D300" t="str">
            <v>Department of Animal Husbandry &amp; Dairying (DAHD), Ministry of Fisheries, Animal Husbandry and Dairying, GoI</v>
          </cell>
          <cell r="E300"/>
          <cell r="F300"/>
          <cell r="G300" t="str">
            <v>Dairy Development</v>
          </cell>
          <cell r="H300" t="str">
            <v>TPI/TPA/TPE</v>
          </cell>
        </row>
        <row r="301">
          <cell r="B301" t="str">
            <v>PP00287</v>
          </cell>
          <cell r="C301" t="str">
            <v>Chattisgarh</v>
          </cell>
          <cell r="D301"/>
          <cell r="E301"/>
          <cell r="F301"/>
          <cell r="G301" t="str">
            <v>Water &amp; Sanitation</v>
          </cell>
          <cell r="H301" t="str">
            <v>TPI/TPA/TPE/TPQA</v>
          </cell>
        </row>
        <row r="302">
          <cell r="B302" t="str">
            <v>PP00288</v>
          </cell>
          <cell r="C302"/>
          <cell r="D302" t="str">
            <v>National Institute of Public Cooperation and Child Development (NIPCCD)</v>
          </cell>
          <cell r="E302" t="str">
            <v>Ministry of Women and Child Development</v>
          </cell>
          <cell r="F302"/>
          <cell r="G302" t="str">
            <v>Infrastructure</v>
          </cell>
          <cell r="H302" t="str">
            <v>TPI/TPA/TPE</v>
          </cell>
        </row>
        <row r="303">
          <cell r="B303" t="str">
            <v>PP00289</v>
          </cell>
          <cell r="C303" t="str">
            <v>Uttarakhand</v>
          </cell>
          <cell r="D303" t="str">
            <v>NBCC</v>
          </cell>
          <cell r="E303" t="str">
            <v>Government of Uttarakhand</v>
          </cell>
          <cell r="F303"/>
          <cell r="G303" t="str">
            <v>Infrastructure</v>
          </cell>
          <cell r="H303" t="str">
            <v>TPI/TPA/TPE</v>
          </cell>
        </row>
        <row r="304">
          <cell r="B304" t="str">
            <v>PP00290</v>
          </cell>
          <cell r="C304" t="str">
            <v>NCT of Delhi</v>
          </cell>
          <cell r="D304" t="str">
            <v>NBCC</v>
          </cell>
          <cell r="E304" t="str">
            <v>NBCC</v>
          </cell>
          <cell r="F304"/>
          <cell r="G304" t="str">
            <v>Infrastructure</v>
          </cell>
          <cell r="H304" t="str">
            <v>TPI/TPA/TPE</v>
          </cell>
        </row>
        <row r="305">
          <cell r="B305" t="str">
            <v>PP00291</v>
          </cell>
          <cell r="C305"/>
          <cell r="D305" t="str">
            <v>Ministry of Labour &amp; Employment</v>
          </cell>
          <cell r="E305"/>
          <cell r="F305"/>
          <cell r="G305" t="str">
            <v>Social Impact</v>
          </cell>
          <cell r="H305" t="str">
            <v>TPI/TPA/TPE</v>
          </cell>
        </row>
        <row r="306">
          <cell r="B306" t="str">
            <v>Project Code yet to be generated</v>
          </cell>
          <cell r="C306"/>
          <cell r="D306" t="str">
            <v>Bureau of Police Research and Development, MHA</v>
          </cell>
          <cell r="E306"/>
          <cell r="F306"/>
          <cell r="G306" t="str">
            <v>Police Reforms &amp; Public Perception</v>
          </cell>
          <cell r="H306"/>
        </row>
      </sheetData>
      <sheetData sheetId="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1">
          <cell r="B1" t="str">
            <v>Project Code</v>
          </cell>
          <cell r="C1" t="str">
            <v>State</v>
          </cell>
          <cell r="D1" t="str">
            <v>Client/Department</v>
          </cell>
        </row>
        <row r="2">
          <cell r="B2" t="str">
            <v>PB00001</v>
          </cell>
          <cell r="C2" t="str">
            <v>Pan India</v>
          </cell>
        </row>
        <row r="3">
          <cell r="B3" t="str">
            <v>PB00002</v>
          </cell>
          <cell r="C3" t="str">
            <v>Pan India</v>
          </cell>
          <cell r="D3" t="str">
            <v>Department for Promotion of Industry and Internal Trade,</v>
          </cell>
        </row>
        <row r="4">
          <cell r="B4" t="str">
            <v>PB00003</v>
          </cell>
          <cell r="C4" t="str">
            <v>Pan India</v>
          </cell>
        </row>
        <row r="5">
          <cell r="B5" t="str">
            <v>PB00004</v>
          </cell>
          <cell r="C5" t="str">
            <v>Uttar Pradesh</v>
          </cell>
          <cell r="D5" t="str">
            <v>Uttar Pradesh State Road Transport Corporation (UPSRTC)</v>
          </cell>
        </row>
        <row r="6">
          <cell r="B6" t="str">
            <v>PB00011</v>
          </cell>
          <cell r="C6" t="str">
            <v>Pan India</v>
          </cell>
        </row>
        <row r="7">
          <cell r="B7" t="str">
            <v>PB00012</v>
          </cell>
          <cell r="C7" t="str">
            <v>Maharashtra</v>
          </cell>
          <cell r="D7" t="str">
            <v>Nashik Municipal Corporation</v>
          </cell>
        </row>
        <row r="8">
          <cell r="B8" t="str">
            <v>PB00013</v>
          </cell>
          <cell r="C8" t="str">
            <v>Pan India</v>
          </cell>
        </row>
        <row r="9">
          <cell r="B9" t="str">
            <v>PB00014</v>
          </cell>
          <cell r="C9" t="str">
            <v>Gujarat</v>
          </cell>
          <cell r="D9" t="str">
            <v>Banaskantha District Co-op. Milk Producers' Union Ltd.</v>
          </cell>
        </row>
        <row r="10">
          <cell r="B10" t="str">
            <v>PB00015</v>
          </cell>
          <cell r="C10" t="str">
            <v>Pan India</v>
          </cell>
        </row>
        <row r="11">
          <cell r="B11" t="str">
            <v>PB00016</v>
          </cell>
          <cell r="C11" t="str">
            <v>Rajasthan</v>
          </cell>
        </row>
        <row r="12">
          <cell r="B12" t="str">
            <v>PB00017</v>
          </cell>
          <cell r="C12" t="str">
            <v>Pan India</v>
          </cell>
        </row>
        <row r="13">
          <cell r="B13" t="str">
            <v>PB00018</v>
          </cell>
          <cell r="C13" t="str">
            <v>Pan India</v>
          </cell>
        </row>
        <row r="14">
          <cell r="B14" t="str">
            <v>PB00019</v>
          </cell>
          <cell r="C14" t="str">
            <v>Gujarat</v>
          </cell>
        </row>
        <row r="15">
          <cell r="B15" t="str">
            <v>PP00001</v>
          </cell>
          <cell r="C15" t="str">
            <v>Pan India</v>
          </cell>
        </row>
        <row r="16">
          <cell r="B16" t="str">
            <v>PP00002</v>
          </cell>
          <cell r="C16" t="str">
            <v>Pan India</v>
          </cell>
        </row>
        <row r="17">
          <cell r="B17" t="str">
            <v>PP00003</v>
          </cell>
          <cell r="C17" t="str">
            <v>Pan India</v>
          </cell>
        </row>
        <row r="18">
          <cell r="B18" t="str">
            <v>PP00004</v>
          </cell>
          <cell r="C18" t="str">
            <v>Pan India</v>
          </cell>
        </row>
        <row r="19">
          <cell r="B19" t="str">
            <v>PP00005</v>
          </cell>
          <cell r="C19" t="str">
            <v>Pan India</v>
          </cell>
          <cell r="D19" t="str">
            <v>IBF-OI</v>
          </cell>
        </row>
        <row r="20">
          <cell r="B20" t="str">
            <v>PP00006</v>
          </cell>
          <cell r="C20" t="str">
            <v>Pan India</v>
          </cell>
        </row>
        <row r="21">
          <cell r="B21" t="str">
            <v>PP00007</v>
          </cell>
          <cell r="C21" t="str">
            <v>Madhya Pradesh</v>
          </cell>
        </row>
        <row r="22">
          <cell r="B22" t="str">
            <v>PP00008</v>
          </cell>
          <cell r="C22" t="str">
            <v>Madhya Pradesh</v>
          </cell>
          <cell r="D22" t="str">
            <v>Municipal Corporation of Gwalior</v>
          </cell>
        </row>
        <row r="23">
          <cell r="B23" t="str">
            <v>PP00009</v>
          </cell>
          <cell r="C23" t="str">
            <v>Madhya Pradesh</v>
          </cell>
        </row>
        <row r="24">
          <cell r="B24" t="str">
            <v>PP00010</v>
          </cell>
          <cell r="C24" t="str">
            <v>NCT of Delhi</v>
          </cell>
        </row>
        <row r="25">
          <cell r="B25" t="str">
            <v>PP00011</v>
          </cell>
          <cell r="C25" t="str">
            <v>Pan India</v>
          </cell>
        </row>
        <row r="26">
          <cell r="B26" t="str">
            <v>PP00012</v>
          </cell>
          <cell r="C26" t="str">
            <v>Jharkhand</v>
          </cell>
        </row>
        <row r="27">
          <cell r="B27" t="str">
            <v>PP00013</v>
          </cell>
          <cell r="C27" t="str">
            <v>Pan India</v>
          </cell>
        </row>
        <row r="28">
          <cell r="B28" t="str">
            <v>PP00014</v>
          </cell>
          <cell r="C28" t="str">
            <v>Telangana</v>
          </cell>
        </row>
        <row r="29">
          <cell r="B29" t="str">
            <v>PP00015</v>
          </cell>
          <cell r="C29" t="str">
            <v>Gujarat</v>
          </cell>
          <cell r="D29" t="str">
            <v>Tourism Corporation of Gujarat Limited</v>
          </cell>
        </row>
        <row r="30">
          <cell r="B30" t="str">
            <v>PP00016</v>
          </cell>
          <cell r="C30" t="str">
            <v>Gujarat</v>
          </cell>
          <cell r="D30" t="str">
            <v>Tourism Corporation of Gujarat Limited</v>
          </cell>
        </row>
        <row r="31">
          <cell r="B31" t="str">
            <v>PP00017</v>
          </cell>
          <cell r="C31" t="str">
            <v>Gujarat</v>
          </cell>
          <cell r="D31" t="str">
            <v>Tourism Corporation of Gujarat Limited</v>
          </cell>
        </row>
        <row r="32">
          <cell r="B32" t="str">
            <v>PP00018</v>
          </cell>
          <cell r="C32" t="str">
            <v>Uttar Pradesh</v>
          </cell>
          <cell r="D32" t="str">
            <v>Department of Panchayati Raj</v>
          </cell>
        </row>
        <row r="33">
          <cell r="B33" t="str">
            <v>PP00019</v>
          </cell>
          <cell r="C33" t="str">
            <v>NCT of Delhi</v>
          </cell>
          <cell r="D33" t="str">
            <v>New Delhi Municipal Council</v>
          </cell>
        </row>
        <row r="34">
          <cell r="B34" t="str">
            <v>PP00020</v>
          </cell>
          <cell r="C34" t="str">
            <v>Pan India</v>
          </cell>
        </row>
        <row r="35">
          <cell r="B35" t="str">
            <v>PP00021</v>
          </cell>
          <cell r="C35" t="str">
            <v>Pan India</v>
          </cell>
        </row>
        <row r="36">
          <cell r="B36" t="str">
            <v>PP00022</v>
          </cell>
          <cell r="C36" t="str">
            <v>Pan India</v>
          </cell>
        </row>
        <row r="37">
          <cell r="B37" t="str">
            <v>PP00023</v>
          </cell>
          <cell r="C37" t="str">
            <v>Pan India</v>
          </cell>
        </row>
        <row r="38">
          <cell r="B38" t="str">
            <v>PP00024</v>
          </cell>
          <cell r="C38" t="str">
            <v>Pan India</v>
          </cell>
        </row>
        <row r="39">
          <cell r="B39" t="str">
            <v>PP00025</v>
          </cell>
          <cell r="C39" t="str">
            <v>Pan India</v>
          </cell>
        </row>
        <row r="40">
          <cell r="B40" t="str">
            <v>PP00026</v>
          </cell>
          <cell r="C40" t="str">
            <v>Pan India</v>
          </cell>
        </row>
        <row r="41">
          <cell r="B41" t="str">
            <v>PP00027</v>
          </cell>
          <cell r="C41" t="str">
            <v>Pan India</v>
          </cell>
        </row>
        <row r="42">
          <cell r="B42" t="str">
            <v>PP00028</v>
          </cell>
          <cell r="C42" t="str">
            <v>Pan India</v>
          </cell>
        </row>
        <row r="43">
          <cell r="B43" t="str">
            <v>PP00029</v>
          </cell>
          <cell r="C43" t="str">
            <v>Pan India</v>
          </cell>
        </row>
        <row r="44">
          <cell r="B44" t="str">
            <v>PP00030</v>
          </cell>
          <cell r="C44" t="str">
            <v>Pan India</v>
          </cell>
        </row>
        <row r="45">
          <cell r="B45" t="str">
            <v>PP00031</v>
          </cell>
          <cell r="C45" t="str">
            <v>Uttar Pradesh</v>
          </cell>
        </row>
        <row r="46">
          <cell r="B46" t="str">
            <v>PP00032</v>
          </cell>
          <cell r="C46" t="str">
            <v>Uttar Pradesh</v>
          </cell>
        </row>
        <row r="47">
          <cell r="B47" t="str">
            <v>PP00033</v>
          </cell>
          <cell r="C47" t="str">
            <v>Pan India</v>
          </cell>
          <cell r="D47" t="str">
            <v>Employees' State Insurance Corporation (ESIC)</v>
          </cell>
        </row>
        <row r="48">
          <cell r="B48" t="str">
            <v>PP00034</v>
          </cell>
          <cell r="C48" t="str">
            <v>NCT of Delhi</v>
          </cell>
          <cell r="D48" t="str">
            <v>Delhi Police</v>
          </cell>
        </row>
        <row r="49">
          <cell r="B49" t="str">
            <v>PP00035</v>
          </cell>
          <cell r="C49" t="str">
            <v>Pan India</v>
          </cell>
        </row>
        <row r="50">
          <cell r="B50" t="str">
            <v>PP00036</v>
          </cell>
          <cell r="C50" t="str">
            <v>Rajasthan</v>
          </cell>
        </row>
        <row r="51">
          <cell r="B51" t="str">
            <v>PP00037</v>
          </cell>
          <cell r="C51" t="str">
            <v>Pan India</v>
          </cell>
          <cell r="D51" t="str">
            <v>Government e-Marketplace</v>
          </cell>
        </row>
        <row r="52">
          <cell r="B52" t="str">
            <v>PP00038</v>
          </cell>
          <cell r="C52" t="str">
            <v>Pan India</v>
          </cell>
        </row>
        <row r="53">
          <cell r="B53" t="str">
            <v>PP00039</v>
          </cell>
          <cell r="C53" t="str">
            <v>Pan India</v>
          </cell>
        </row>
        <row r="54">
          <cell r="B54" t="str">
            <v>PP00040</v>
          </cell>
          <cell r="C54" t="str">
            <v>Pan India</v>
          </cell>
        </row>
        <row r="55">
          <cell r="B55" t="str">
            <v>PP00041</v>
          </cell>
          <cell r="C55" t="str">
            <v>Pan India</v>
          </cell>
        </row>
        <row r="56">
          <cell r="B56" t="str">
            <v>PP00042</v>
          </cell>
          <cell r="C56" t="str">
            <v>Pan India</v>
          </cell>
          <cell r="D56" t="str">
            <v>Confidential</v>
          </cell>
        </row>
        <row r="57">
          <cell r="B57" t="str">
            <v>PP00043</v>
          </cell>
          <cell r="C57" t="str">
            <v>Pan India</v>
          </cell>
        </row>
        <row r="58">
          <cell r="B58" t="str">
            <v>PP00044</v>
          </cell>
          <cell r="C58" t="str">
            <v>Pan India</v>
          </cell>
        </row>
        <row r="59">
          <cell r="B59" t="str">
            <v>PP00045</v>
          </cell>
          <cell r="C59" t="str">
            <v>Pan India</v>
          </cell>
        </row>
        <row r="60">
          <cell r="B60" t="str">
            <v>PP00046</v>
          </cell>
          <cell r="C60" t="str">
            <v>Pan India</v>
          </cell>
        </row>
        <row r="61">
          <cell r="B61" t="str">
            <v>PP00047</v>
          </cell>
          <cell r="C61" t="str">
            <v>Pan India</v>
          </cell>
          <cell r="D61" t="str">
            <v>National Health Authority</v>
          </cell>
        </row>
        <row r="62">
          <cell r="B62" t="str">
            <v>PP00048</v>
          </cell>
          <cell r="C62" t="str">
            <v>Pan India</v>
          </cell>
        </row>
        <row r="63">
          <cell r="B63" t="str">
            <v>PP00049</v>
          </cell>
          <cell r="C63" t="str">
            <v>Pan India</v>
          </cell>
        </row>
        <row r="64">
          <cell r="B64" t="str">
            <v>PP00050</v>
          </cell>
          <cell r="C64" t="str">
            <v>Pan India</v>
          </cell>
        </row>
        <row r="65">
          <cell r="B65" t="str">
            <v>PP00051</v>
          </cell>
          <cell r="C65" t="str">
            <v>Kerala, Nagaland, Assam</v>
          </cell>
        </row>
        <row r="66">
          <cell r="B66" t="str">
            <v>PP00052</v>
          </cell>
          <cell r="C66" t="str">
            <v>Goa</v>
          </cell>
          <cell r="D66" t="str">
            <v>Food and Drugs Authority</v>
          </cell>
        </row>
        <row r="67">
          <cell r="B67" t="str">
            <v>PP00053</v>
          </cell>
          <cell r="C67" t="str">
            <v>Pan India</v>
          </cell>
          <cell r="D67" t="str">
            <v>SEMBCORP</v>
          </cell>
        </row>
        <row r="68">
          <cell r="B68" t="str">
            <v>PP00054</v>
          </cell>
          <cell r="C68" t="str">
            <v>Pan India</v>
          </cell>
          <cell r="D68" t="str">
            <v>Confidential</v>
          </cell>
        </row>
        <row r="69">
          <cell r="B69" t="str">
            <v>PP00055</v>
          </cell>
          <cell r="C69" t="str">
            <v>Pan India</v>
          </cell>
          <cell r="D69" t="str">
            <v>Government e-Marketplace</v>
          </cell>
        </row>
        <row r="70">
          <cell r="B70" t="str">
            <v>PP00056</v>
          </cell>
          <cell r="C70" t="str">
            <v>Pan India</v>
          </cell>
        </row>
        <row r="71">
          <cell r="B71" t="str">
            <v>PP00057</v>
          </cell>
          <cell r="C71" t="str">
            <v>Pan India</v>
          </cell>
        </row>
        <row r="72">
          <cell r="B72" t="str">
            <v>PP00058</v>
          </cell>
          <cell r="C72" t="str">
            <v>Pan India</v>
          </cell>
        </row>
        <row r="73">
          <cell r="B73" t="str">
            <v>PP00059</v>
          </cell>
          <cell r="C73" t="str">
            <v>Pan India</v>
          </cell>
        </row>
        <row r="74">
          <cell r="B74" t="str">
            <v>PP00060</v>
          </cell>
          <cell r="C74" t="str">
            <v>Uttar Pradesh</v>
          </cell>
        </row>
        <row r="75">
          <cell r="B75" t="str">
            <v>PP00061</v>
          </cell>
          <cell r="C75" t="str">
            <v>Maharashtra</v>
          </cell>
        </row>
        <row r="76">
          <cell r="B76" t="str">
            <v>PP00062</v>
          </cell>
          <cell r="C76" t="str">
            <v>Haryana</v>
          </cell>
        </row>
        <row r="77">
          <cell r="B77" t="str">
            <v>PP00063</v>
          </cell>
          <cell r="C77" t="str">
            <v>Pan India</v>
          </cell>
          <cell r="D77" t="str">
            <v>Confidential</v>
          </cell>
        </row>
        <row r="78">
          <cell r="B78" t="str">
            <v>PP00064</v>
          </cell>
          <cell r="C78" t="str">
            <v>Pan India</v>
          </cell>
          <cell r="D78" t="str">
            <v>Comptrollor and Auditor General of India</v>
          </cell>
        </row>
        <row r="79">
          <cell r="B79" t="str">
            <v>PP00065</v>
          </cell>
          <cell r="C79" t="str">
            <v>Pan India</v>
          </cell>
        </row>
        <row r="80">
          <cell r="B80" t="str">
            <v>PP00066</v>
          </cell>
          <cell r="C80" t="str">
            <v>Pan India</v>
          </cell>
        </row>
        <row r="81">
          <cell r="B81" t="str">
            <v>PP00067</v>
          </cell>
          <cell r="C81" t="str">
            <v>Pan India</v>
          </cell>
        </row>
        <row r="82">
          <cell r="B82" t="str">
            <v>PP00068</v>
          </cell>
          <cell r="C82" t="str">
            <v>Pan India</v>
          </cell>
        </row>
        <row r="83">
          <cell r="B83" t="str">
            <v>PP00069</v>
          </cell>
          <cell r="C83" t="str">
            <v>Pan India</v>
          </cell>
        </row>
        <row r="84">
          <cell r="B84" t="str">
            <v>PP00070</v>
          </cell>
          <cell r="C84" t="str">
            <v>Uttar Pradesh</v>
          </cell>
        </row>
        <row r="85">
          <cell r="B85" t="str">
            <v>PP00071</v>
          </cell>
          <cell r="C85" t="str">
            <v>Pan India</v>
          </cell>
        </row>
        <row r="86">
          <cell r="B86" t="str">
            <v>PP00072</v>
          </cell>
          <cell r="C86" t="str">
            <v>Pan India</v>
          </cell>
        </row>
        <row r="87">
          <cell r="B87" t="str">
            <v>PP00073</v>
          </cell>
          <cell r="C87" t="str">
            <v>Pan India</v>
          </cell>
        </row>
        <row r="88">
          <cell r="B88" t="str">
            <v>PP00074</v>
          </cell>
          <cell r="C88" t="str">
            <v>Pan India</v>
          </cell>
          <cell r="D88" t="str">
            <v>National Mission for Clean Ganga</v>
          </cell>
        </row>
        <row r="89">
          <cell r="B89" t="str">
            <v>PP00075</v>
          </cell>
          <cell r="C89" t="str">
            <v>Pan India</v>
          </cell>
          <cell r="D89" t="str">
            <v>Confidential</v>
          </cell>
        </row>
        <row r="90">
          <cell r="B90" t="str">
            <v>PP00075/ PB00006</v>
          </cell>
          <cell r="C90" t="str">
            <v>Pan India</v>
          </cell>
        </row>
        <row r="91">
          <cell r="B91" t="str">
            <v>PP00076</v>
          </cell>
          <cell r="C91" t="str">
            <v>Pan India</v>
          </cell>
        </row>
        <row r="92">
          <cell r="B92" t="str">
            <v>PP00077</v>
          </cell>
          <cell r="C92" t="str">
            <v>Pan India</v>
          </cell>
        </row>
        <row r="93">
          <cell r="B93" t="str">
            <v>PP00078</v>
          </cell>
          <cell r="C93" t="str">
            <v>Pan India</v>
          </cell>
        </row>
        <row r="94">
          <cell r="B94" t="str">
            <v>PP00079</v>
          </cell>
          <cell r="C94" t="str">
            <v>Pan India</v>
          </cell>
          <cell r="D94" t="str">
            <v>Defence Research and Developmenr Organisation</v>
          </cell>
        </row>
        <row r="95">
          <cell r="B95" t="str">
            <v>PP00080</v>
          </cell>
          <cell r="C95" t="str">
            <v>Pan India</v>
          </cell>
          <cell r="D95" t="str">
            <v>Department for Promotion of Industry and Internal Trade &amp; Director General of Foreign Trade</v>
          </cell>
        </row>
        <row r="96">
          <cell r="B96" t="str">
            <v>PP00081</v>
          </cell>
          <cell r="C96" t="str">
            <v>Pan India</v>
          </cell>
        </row>
        <row r="97">
          <cell r="B97" t="str">
            <v>PP00082</v>
          </cell>
          <cell r="C97" t="str">
            <v>Pan India</v>
          </cell>
        </row>
        <row r="98">
          <cell r="B98" t="str">
            <v>PP00083</v>
          </cell>
          <cell r="C98" t="str">
            <v>Pan India</v>
          </cell>
        </row>
        <row r="99">
          <cell r="B99" t="str">
            <v>PP00084</v>
          </cell>
          <cell r="C99" t="str">
            <v>Pan India</v>
          </cell>
          <cell r="D99" t="str">
            <v>Confidential</v>
          </cell>
        </row>
        <row r="100">
          <cell r="B100" t="str">
            <v>PP00085</v>
          </cell>
          <cell r="C100" t="str">
            <v>NCT of Delhi</v>
          </cell>
          <cell r="D100" t="str">
            <v>New Delhi Municipal Council</v>
          </cell>
        </row>
        <row r="101">
          <cell r="B101" t="str">
            <v>PP00086</v>
          </cell>
          <cell r="C101" t="str">
            <v>Pan India</v>
          </cell>
        </row>
        <row r="102">
          <cell r="B102" t="str">
            <v>PP00087</v>
          </cell>
          <cell r="C102" t="str">
            <v>Odisha</v>
          </cell>
          <cell r="D102" t="str">
            <v>Odisha Coal and Power Limited</v>
          </cell>
        </row>
        <row r="103">
          <cell r="B103" t="str">
            <v>PP00088</v>
          </cell>
          <cell r="C103" t="str">
            <v>Rajasthan</v>
          </cell>
        </row>
        <row r="104">
          <cell r="B104" t="str">
            <v>PP00089</v>
          </cell>
          <cell r="C104" t="str">
            <v>Madhya Pradesh</v>
          </cell>
        </row>
        <row r="105">
          <cell r="B105" t="str">
            <v>PP00090</v>
          </cell>
          <cell r="C105" t="str">
            <v>Pan India</v>
          </cell>
        </row>
        <row r="106">
          <cell r="B106" t="str">
            <v>PP00091</v>
          </cell>
          <cell r="C106" t="str">
            <v>Pan India</v>
          </cell>
        </row>
        <row r="107">
          <cell r="B107" t="str">
            <v>PP00092</v>
          </cell>
          <cell r="C107" t="str">
            <v>Pan India</v>
          </cell>
        </row>
        <row r="108">
          <cell r="B108" t="str">
            <v>PP00093</v>
          </cell>
          <cell r="C108" t="str">
            <v>Pan India</v>
          </cell>
        </row>
        <row r="109">
          <cell r="B109" t="str">
            <v>PP00094</v>
          </cell>
          <cell r="C109" t="str">
            <v>Pan India</v>
          </cell>
        </row>
        <row r="110">
          <cell r="B110" t="str">
            <v>PP00095</v>
          </cell>
          <cell r="C110" t="str">
            <v>Pan India</v>
          </cell>
        </row>
        <row r="111">
          <cell r="B111" t="str">
            <v>PP00096</v>
          </cell>
          <cell r="C111" t="str">
            <v>Pan India</v>
          </cell>
        </row>
        <row r="112">
          <cell r="B112" t="str">
            <v>PP00097</v>
          </cell>
          <cell r="C112" t="str">
            <v>NCT of Delhi</v>
          </cell>
          <cell r="D112" t="str">
            <v>Directorate General of Commercial Intelligence and Statistics</v>
          </cell>
        </row>
        <row r="113">
          <cell r="B113" t="str">
            <v>PP00098</v>
          </cell>
          <cell r="C113" t="str">
            <v>Pan India</v>
          </cell>
        </row>
        <row r="114">
          <cell r="B114" t="str">
            <v>PP00099</v>
          </cell>
          <cell r="C114" t="str">
            <v>Pan India</v>
          </cell>
        </row>
        <row r="115">
          <cell r="B115" t="str">
            <v>PP00100</v>
          </cell>
          <cell r="C115" t="str">
            <v>Pan India</v>
          </cell>
        </row>
        <row r="116">
          <cell r="B116" t="str">
            <v>PP00101</v>
          </cell>
          <cell r="C116" t="str">
            <v>Pan India</v>
          </cell>
        </row>
        <row r="117">
          <cell r="B117" t="str">
            <v>PP00102</v>
          </cell>
          <cell r="C117" t="str">
            <v>Pan India</v>
          </cell>
        </row>
        <row r="118">
          <cell r="B118" t="str">
            <v>PP00103</v>
          </cell>
          <cell r="C118" t="str">
            <v>Pan India</v>
          </cell>
        </row>
        <row r="119">
          <cell r="B119" t="str">
            <v>PP00104</v>
          </cell>
          <cell r="C119" t="str">
            <v>Pan India</v>
          </cell>
        </row>
        <row r="120">
          <cell r="B120" t="str">
            <v>PP00105</v>
          </cell>
          <cell r="C120" t="str">
            <v>Pan India</v>
          </cell>
          <cell r="D120" t="str">
            <v>Department for Promotion of Industry and Internal Trade</v>
          </cell>
        </row>
        <row r="121">
          <cell r="B121" t="str">
            <v>PP00106</v>
          </cell>
          <cell r="C121" t="str">
            <v>Pan India</v>
          </cell>
        </row>
        <row r="122">
          <cell r="B122" t="str">
            <v>PP00107</v>
          </cell>
          <cell r="C122" t="str">
            <v>Odisha</v>
          </cell>
        </row>
        <row r="123">
          <cell r="B123" t="str">
            <v>PP00108</v>
          </cell>
          <cell r="C123" t="str">
            <v>Pan India</v>
          </cell>
          <cell r="D123" t="str">
            <v>Railway Board</v>
          </cell>
        </row>
        <row r="124">
          <cell r="B124" t="str">
            <v>PP00109</v>
          </cell>
          <cell r="C124" t="str">
            <v>Pan India</v>
          </cell>
          <cell r="D124" t="str">
            <v>Confidential</v>
          </cell>
        </row>
        <row r="125">
          <cell r="B125" t="str">
            <v>PP00110</v>
          </cell>
          <cell r="C125" t="str">
            <v>Pan India</v>
          </cell>
          <cell r="D125" t="str">
            <v>Department for Promotion of Industry and Internal Trade</v>
          </cell>
        </row>
        <row r="126">
          <cell r="B126" t="str">
            <v>PP00111</v>
          </cell>
          <cell r="C126" t="str">
            <v>Pan India</v>
          </cell>
        </row>
        <row r="127">
          <cell r="B127" t="str">
            <v>PP00112</v>
          </cell>
          <cell r="C127" t="str">
            <v>Odisha</v>
          </cell>
        </row>
        <row r="128">
          <cell r="B128" t="str">
            <v>PP00113</v>
          </cell>
          <cell r="C128" t="str">
            <v>Pan India</v>
          </cell>
        </row>
        <row r="129">
          <cell r="B129" t="str">
            <v>PP00114</v>
          </cell>
          <cell r="C129" t="str">
            <v>Andhra Pradesh</v>
          </cell>
          <cell r="D129" t="str">
            <v>Municipal Administration Department</v>
          </cell>
        </row>
        <row r="130">
          <cell r="B130" t="str">
            <v>PP00115</v>
          </cell>
          <cell r="C130" t="str">
            <v>Pan India</v>
          </cell>
        </row>
        <row r="131">
          <cell r="B131" t="str">
            <v>PP00116</v>
          </cell>
          <cell r="C131" t="str">
            <v>Pan India</v>
          </cell>
        </row>
        <row r="132">
          <cell r="B132" t="str">
            <v>PP00117</v>
          </cell>
          <cell r="C132" t="str">
            <v>Pan India</v>
          </cell>
          <cell r="D132" t="str">
            <v>Confidential</v>
          </cell>
        </row>
        <row r="133">
          <cell r="B133" t="str">
            <v>PP00118</v>
          </cell>
          <cell r="C133" t="str">
            <v>Pan India</v>
          </cell>
        </row>
        <row r="134">
          <cell r="B134" t="str">
            <v>PP00119</v>
          </cell>
          <cell r="C134" t="str">
            <v>Odisha</v>
          </cell>
          <cell r="D134" t="str">
            <v>NLC India Limited</v>
          </cell>
        </row>
        <row r="135">
          <cell r="B135" t="str">
            <v>PP00120</v>
          </cell>
          <cell r="C135" t="str">
            <v>Himachal Pradesh</v>
          </cell>
        </row>
        <row r="136">
          <cell r="B136" t="str">
            <v>PP00121</v>
          </cell>
          <cell r="C136" t="str">
            <v>Pan India</v>
          </cell>
        </row>
        <row r="137">
          <cell r="B137" t="str">
            <v>PP00122</v>
          </cell>
          <cell r="C137" t="str">
            <v>Pan India</v>
          </cell>
          <cell r="D137" t="str">
            <v>Department of Administrative Reforms and Public Grievances</v>
          </cell>
        </row>
        <row r="138">
          <cell r="B138" t="str">
            <v>PP00123</v>
          </cell>
          <cell r="C138" t="str">
            <v>Pan India</v>
          </cell>
          <cell r="D138" t="str">
            <v>Ministry of Housing and Urban Affairs</v>
          </cell>
        </row>
        <row r="139">
          <cell r="B139" t="str">
            <v>PP00124</v>
          </cell>
          <cell r="C139" t="str">
            <v>Pan India</v>
          </cell>
          <cell r="D139" t="str">
            <v>Ministry of Women and Child Development</v>
          </cell>
        </row>
        <row r="140">
          <cell r="B140" t="str">
            <v>PP00125</v>
          </cell>
          <cell r="C140" t="str">
            <v>Uttar Pradesh</v>
          </cell>
          <cell r="D140" t="str">
            <v>Parichha Thermal Power Project</v>
          </cell>
        </row>
        <row r="141">
          <cell r="B141" t="str">
            <v>PP00126</v>
          </cell>
          <cell r="C141" t="str">
            <v>Pan India</v>
          </cell>
          <cell r="D141" t="str">
            <v>Government e-Marketplace</v>
          </cell>
        </row>
        <row r="142">
          <cell r="B142" t="str">
            <v>PP00127</v>
          </cell>
          <cell r="C142" t="str">
            <v>Jammu &amp; Kashmir</v>
          </cell>
          <cell r="D142" t="str">
            <v>DC Office, Jammu</v>
          </cell>
        </row>
        <row r="143">
          <cell r="B143" t="str">
            <v>PP00128</v>
          </cell>
          <cell r="C143" t="str">
            <v>Jammu &amp; Kashmir</v>
          </cell>
          <cell r="D143" t="str">
            <v>DC Office, Jammu</v>
          </cell>
        </row>
        <row r="144">
          <cell r="B144" t="str">
            <v>PP00129</v>
          </cell>
          <cell r="C144" t="str">
            <v>Pan India</v>
          </cell>
        </row>
        <row r="145">
          <cell r="B145" t="str">
            <v>PP00130</v>
          </cell>
          <cell r="C145" t="str">
            <v>Pan India</v>
          </cell>
        </row>
        <row r="146">
          <cell r="B146" t="str">
            <v>PP00131</v>
          </cell>
          <cell r="C146" t="str">
            <v>Pan India</v>
          </cell>
          <cell r="D146" t="str">
            <v>Department of Administrative Reforms and Public Grievances</v>
          </cell>
        </row>
        <row r="147">
          <cell r="B147" t="str">
            <v>PP00132</v>
          </cell>
          <cell r="C147" t="str">
            <v>Pan India</v>
          </cell>
        </row>
        <row r="148">
          <cell r="B148" t="str">
            <v>PP00133</v>
          </cell>
          <cell r="C148" t="str">
            <v>Haryana</v>
          </cell>
          <cell r="D148" t="str">
            <v>Public Health Engineering Department</v>
          </cell>
        </row>
        <row r="149">
          <cell r="B149" t="str">
            <v>PP00134</v>
          </cell>
          <cell r="C149" t="str">
            <v>Pan India</v>
          </cell>
        </row>
        <row r="150">
          <cell r="B150" t="str">
            <v>PP00135</v>
          </cell>
          <cell r="C150" t="str">
            <v>Madhya Pradesh</v>
          </cell>
          <cell r="D150" t="str">
            <v>MP Jal Nigam</v>
          </cell>
        </row>
        <row r="151">
          <cell r="B151" t="str">
            <v>PP00136</v>
          </cell>
          <cell r="C151" t="str">
            <v>Pan India</v>
          </cell>
          <cell r="D151" t="str">
            <v>Department of Public Enterprises</v>
          </cell>
        </row>
        <row r="152">
          <cell r="B152" t="str">
            <v>PP00137</v>
          </cell>
          <cell r="C152" t="str">
            <v>Pan India</v>
          </cell>
        </row>
        <row r="153">
          <cell r="B153" t="str">
            <v>PP00138</v>
          </cell>
          <cell r="C153" t="str">
            <v>Pan India</v>
          </cell>
        </row>
        <row r="154">
          <cell r="B154" t="str">
            <v>PP00139</v>
          </cell>
          <cell r="C154" t="str">
            <v>Pan India</v>
          </cell>
        </row>
        <row r="155">
          <cell r="B155" t="str">
            <v>PP00140</v>
          </cell>
          <cell r="C155" t="str">
            <v>Pan India</v>
          </cell>
          <cell r="D155" t="str">
            <v>Centralized Public Grievance Redress and Monitoring System, Department of Administrative Reforms and Public Grievances</v>
          </cell>
        </row>
        <row r="156">
          <cell r="B156" t="str">
            <v>PP00141</v>
          </cell>
          <cell r="C156" t="str">
            <v>Tamil Nadu</v>
          </cell>
        </row>
        <row r="157">
          <cell r="B157" t="str">
            <v>PP00142</v>
          </cell>
          <cell r="C157" t="str">
            <v>Uttar Pradesh</v>
          </cell>
        </row>
        <row r="158">
          <cell r="B158" t="str">
            <v>PP00143</v>
          </cell>
          <cell r="C158" t="str">
            <v>Pan India</v>
          </cell>
          <cell r="D158" t="str">
            <v>Department of Administrative Reforms and Public Grievances</v>
          </cell>
        </row>
        <row r="159">
          <cell r="B159" t="str">
            <v>PP00144</v>
          </cell>
          <cell r="C159" t="str">
            <v>Pan India</v>
          </cell>
        </row>
        <row r="160">
          <cell r="B160" t="str">
            <v>PP00145</v>
          </cell>
          <cell r="C160" t="str">
            <v>Haryana</v>
          </cell>
        </row>
        <row r="161">
          <cell r="B161" t="str">
            <v>PP00146</v>
          </cell>
          <cell r="C161" t="str">
            <v>Pan India</v>
          </cell>
          <cell r="D161" t="str">
            <v>Department of Administrative Reforms and Public Grievances</v>
          </cell>
        </row>
        <row r="162">
          <cell r="B162" t="str">
            <v>PP00147</v>
          </cell>
          <cell r="C162" t="str">
            <v>Pan India</v>
          </cell>
          <cell r="D162" t="str">
            <v>Pt. Bara Daya Energi</v>
          </cell>
        </row>
        <row r="163">
          <cell r="B163" t="str">
            <v>PP00148</v>
          </cell>
          <cell r="C163" t="str">
            <v>Pan India</v>
          </cell>
          <cell r="D163" t="str">
            <v>Confidential</v>
          </cell>
        </row>
        <row r="164">
          <cell r="B164" t="str">
            <v>PP00149</v>
          </cell>
          <cell r="C164" t="str">
            <v>Pan India</v>
          </cell>
        </row>
        <row r="165">
          <cell r="B165" t="str">
            <v>PP00150</v>
          </cell>
          <cell r="C165" t="str">
            <v>Pan India</v>
          </cell>
        </row>
        <row r="166">
          <cell r="B166" t="str">
            <v>PP00151</v>
          </cell>
          <cell r="C166" t="str">
            <v>Pan India</v>
          </cell>
          <cell r="D166" t="str">
            <v>Refex, SEPC, JPL Dhule, Ms Fuels, Omaxe</v>
          </cell>
        </row>
        <row r="167">
          <cell r="B167" t="str">
            <v>PP00152</v>
          </cell>
          <cell r="C167" t="str">
            <v>NCT of Delhi</v>
          </cell>
        </row>
        <row r="168">
          <cell r="B168" t="str">
            <v>PP00153</v>
          </cell>
          <cell r="C168" t="str">
            <v>Uttar Pradesh</v>
          </cell>
          <cell r="D168" t="str">
            <v>Department for Promotion of Industry and Internal Trade</v>
          </cell>
        </row>
        <row r="169">
          <cell r="B169" t="str">
            <v>PP00154</v>
          </cell>
          <cell r="C169" t="str">
            <v>Pan India</v>
          </cell>
        </row>
        <row r="170">
          <cell r="B170" t="str">
            <v>PP00155</v>
          </cell>
          <cell r="C170" t="str">
            <v>Madhya Pradesh</v>
          </cell>
        </row>
        <row r="171">
          <cell r="B171" t="str">
            <v>PP00156</v>
          </cell>
          <cell r="C171" t="str">
            <v>NCT of Delhi</v>
          </cell>
          <cell r="D171" t="str">
            <v>Department for Promotion of Industry and Internal Trade</v>
          </cell>
        </row>
        <row r="172">
          <cell r="B172" t="str">
            <v>PP00157</v>
          </cell>
          <cell r="C172" t="str">
            <v>Andhra Pradesh</v>
          </cell>
        </row>
        <row r="173">
          <cell r="B173" t="str">
            <v>PP00158</v>
          </cell>
          <cell r="C173" t="str">
            <v>Pan India</v>
          </cell>
          <cell r="D173" t="str">
            <v>NTPC Limited</v>
          </cell>
        </row>
        <row r="174">
          <cell r="B174" t="str">
            <v>PP00159</v>
          </cell>
          <cell r="C174" t="str">
            <v>Tamil Nadu</v>
          </cell>
          <cell r="D174" t="str">
            <v>Department for Promotion of Industry and Internal Trade</v>
          </cell>
        </row>
        <row r="175">
          <cell r="B175" t="str">
            <v>PP00160</v>
          </cell>
          <cell r="C175" t="str">
            <v>Pan India</v>
          </cell>
          <cell r="D175" t="str">
            <v>Food Corporation of India</v>
          </cell>
        </row>
        <row r="176">
          <cell r="B176" t="str">
            <v>PP00161</v>
          </cell>
          <cell r="C176" t="str">
            <v>Pan India</v>
          </cell>
          <cell r="D176" t="str">
            <v>National River Conservation Directorate</v>
          </cell>
        </row>
        <row r="177">
          <cell r="B177" t="str">
            <v>PP00162</v>
          </cell>
          <cell r="C177" t="str">
            <v>Uttar Pradesh</v>
          </cell>
          <cell r="D177" t="str">
            <v>UP Projects Corporation Ltd.</v>
          </cell>
        </row>
        <row r="178">
          <cell r="B178" t="str">
            <v>PP00163</v>
          </cell>
          <cell r="C178" t="str">
            <v>Pan India</v>
          </cell>
        </row>
        <row r="179">
          <cell r="B179" t="str">
            <v>PP00164</v>
          </cell>
          <cell r="C179" t="str">
            <v>Pan India</v>
          </cell>
          <cell r="D179" t="str">
            <v>SBM III/PHE Division</v>
          </cell>
        </row>
        <row r="180">
          <cell r="B180" t="str">
            <v>PP00165</v>
          </cell>
          <cell r="C180" t="str">
            <v>Uttar Pradesh</v>
          </cell>
        </row>
        <row r="181">
          <cell r="B181" t="str">
            <v>PP00166</v>
          </cell>
          <cell r="C181" t="str">
            <v>Uttar Pradesh</v>
          </cell>
          <cell r="D181" t="str">
            <v>U.P. Project Corporations Ltd.</v>
          </cell>
        </row>
        <row r="182">
          <cell r="B182" t="str">
            <v>PP00167</v>
          </cell>
          <cell r="C182" t="str">
            <v>NCT of Delhi</v>
          </cell>
          <cell r="D182" t="str">
            <v>India Trade Promotion Organisation, DPIIT</v>
          </cell>
        </row>
        <row r="183">
          <cell r="B183" t="str">
            <v>PP00168</v>
          </cell>
          <cell r="C183" t="str">
            <v>Pan India</v>
          </cell>
          <cell r="D183" t="str">
            <v>Department of Administrative Reforms and Public Grievances</v>
          </cell>
        </row>
        <row r="184">
          <cell r="B184" t="str">
            <v>PP00169</v>
          </cell>
          <cell r="C184" t="str">
            <v>NCT of Delhi</v>
          </cell>
          <cell r="D184" t="str">
            <v>IPE Global Limited</v>
          </cell>
        </row>
        <row r="185">
          <cell r="B185" t="str">
            <v>PP00170</v>
          </cell>
          <cell r="C185" t="str">
            <v>NCT of Delhi</v>
          </cell>
          <cell r="D185" t="str">
            <v>National Buildings Construction Corporation</v>
          </cell>
        </row>
        <row r="186">
          <cell r="B186" t="str">
            <v>PP00171</v>
          </cell>
          <cell r="C186" t="str">
            <v>Pan India</v>
          </cell>
          <cell r="D186" t="str">
            <v>Department of Administrative Reforms and Public Grievances</v>
          </cell>
        </row>
        <row r="187">
          <cell r="B187" t="str">
            <v>PP00172</v>
          </cell>
          <cell r="C187" t="str">
            <v>NCT of Delhi</v>
          </cell>
          <cell r="D187" t="str">
            <v>New Delhi Municipal Council</v>
          </cell>
        </row>
        <row r="188">
          <cell r="B188" t="str">
            <v>PP00173</v>
          </cell>
          <cell r="C188" t="str">
            <v>Madhya Pradesh</v>
          </cell>
          <cell r="D188" t="str">
            <v>Bhopal Municipal Corporation</v>
          </cell>
        </row>
        <row r="189">
          <cell r="B189" t="str">
            <v>PP00174</v>
          </cell>
          <cell r="C189" t="str">
            <v>Lakshadweep, Daman &amp; Diu, Dadra &amp; Nagar Haveli</v>
          </cell>
        </row>
        <row r="190">
          <cell r="B190" t="str">
            <v>PP00175</v>
          </cell>
          <cell r="C190" t="str">
            <v>Pan India</v>
          </cell>
        </row>
        <row r="191">
          <cell r="B191" t="str">
            <v>PP00176</v>
          </cell>
          <cell r="C191" t="str">
            <v>Uttar Pradesh</v>
          </cell>
          <cell r="D191" t="str">
            <v>Uttar pradesh</v>
          </cell>
        </row>
        <row r="192">
          <cell r="B192" t="str">
            <v>PP00177</v>
          </cell>
          <cell r="C192" t="str">
            <v>Uttar Pradesh</v>
          </cell>
          <cell r="D192" t="str">
            <v>Construction &amp; Design Services U.P. Jal Nigam</v>
          </cell>
        </row>
        <row r="193">
          <cell r="B193" t="str">
            <v>PP00178</v>
          </cell>
          <cell r="C193" t="str">
            <v>Jammu &amp; Kashmir</v>
          </cell>
          <cell r="D193" t="str">
            <v>Capacity Building Commission</v>
          </cell>
        </row>
        <row r="194">
          <cell r="B194" t="str">
            <v>PP00179</v>
          </cell>
          <cell r="C194" t="str">
            <v>Pan India</v>
          </cell>
          <cell r="D194" t="str">
            <v>Virgo Communications and Exhibitions Pvt. Ltd.</v>
          </cell>
        </row>
        <row r="195">
          <cell r="B195" t="str">
            <v>PP00180</v>
          </cell>
          <cell r="C195" t="str">
            <v>Pan India</v>
          </cell>
          <cell r="D195" t="str">
            <v>Heritage Cities Division</v>
          </cell>
        </row>
        <row r="196">
          <cell r="B196" t="str">
            <v>PP00181</v>
          </cell>
          <cell r="C196" t="str">
            <v>Pan India</v>
          </cell>
        </row>
        <row r="197">
          <cell r="B197" t="str">
            <v>PP00182</v>
          </cell>
          <cell r="C197" t="str">
            <v>Pan India</v>
          </cell>
          <cell r="D197" t="str">
            <v>Central Warehousing Corporation</v>
          </cell>
        </row>
        <row r="198">
          <cell r="B198" t="str">
            <v>PP00183</v>
          </cell>
          <cell r="C198" t="str">
            <v>Maharashtra</v>
          </cell>
          <cell r="D198" t="str">
            <v>General Administration Department</v>
          </cell>
        </row>
        <row r="199">
          <cell r="B199" t="str">
            <v>PP00184</v>
          </cell>
          <cell r="C199" t="str">
            <v>Tamil Nadu</v>
          </cell>
          <cell r="D199" t="str">
            <v>PMRF, IIT Madras</v>
          </cell>
        </row>
        <row r="200">
          <cell r="B200" t="str">
            <v>PP00185</v>
          </cell>
          <cell r="C200" t="str">
            <v>Pan India</v>
          </cell>
          <cell r="D200" t="str">
            <v>Central Warehousing Corporation</v>
          </cell>
        </row>
        <row r="201">
          <cell r="B201" t="str">
            <v>PP00186</v>
          </cell>
          <cell r="C201" t="str">
            <v>Uttar Pradesh</v>
          </cell>
          <cell r="D201" t="str">
            <v>UP Projects Corporation Ltd. (UPPCL)</v>
          </cell>
        </row>
        <row r="202">
          <cell r="B202" t="str">
            <v>PP00187</v>
          </cell>
          <cell r="C202" t="str">
            <v>Bihar</v>
          </cell>
          <cell r="D202" t="str">
            <v>Bihar Institute of Public Administration and Rural Development (BIPARD)</v>
          </cell>
        </row>
        <row r="203">
          <cell r="B203" t="str">
            <v>PP00188</v>
          </cell>
          <cell r="C203" t="str">
            <v>Andhra Pradesh</v>
          </cell>
        </row>
        <row r="204">
          <cell r="B204" t="str">
            <v>PP00189</v>
          </cell>
          <cell r="C204" t="str">
            <v>Pan India</v>
          </cell>
        </row>
        <row r="205">
          <cell r="B205" t="str">
            <v>PP00190</v>
          </cell>
          <cell r="C205" t="str">
            <v>Pan India</v>
          </cell>
        </row>
        <row r="206">
          <cell r="B206" t="str">
            <v>PP00191</v>
          </cell>
          <cell r="C206" t="str">
            <v>Andhra Pradesh</v>
          </cell>
        </row>
        <row r="207">
          <cell r="B207" t="str">
            <v>PP00192</v>
          </cell>
          <cell r="C207" t="str">
            <v>Pan India</v>
          </cell>
          <cell r="D207" t="str">
            <v>Department of Promotion of Industry and Internal Trade</v>
          </cell>
        </row>
        <row r="208">
          <cell r="B208" t="str">
            <v>PP00193</v>
          </cell>
          <cell r="C208" t="str">
            <v>NCT of Delhi</v>
          </cell>
          <cell r="D208" t="str">
            <v>New Delhi Municipal Council</v>
          </cell>
        </row>
        <row r="209">
          <cell r="B209" t="str">
            <v>PP00194</v>
          </cell>
          <cell r="C209" t="str">
            <v>Pan India</v>
          </cell>
          <cell r="D209" t="str">
            <v>Food Safety and Standards Authority of India</v>
          </cell>
        </row>
        <row r="210">
          <cell r="B210" t="str">
            <v>PP00195</v>
          </cell>
          <cell r="C210" t="str">
            <v>Uttar Pradesh</v>
          </cell>
          <cell r="D210" t="str">
            <v>U.P. State Construction And Infrastructure Development Corporation Limited</v>
          </cell>
        </row>
        <row r="211">
          <cell r="B211" t="str">
            <v>PP00196</v>
          </cell>
          <cell r="C211" t="str">
            <v>Uttar Pradesh</v>
          </cell>
          <cell r="D211" t="str">
            <v>UP Projects Corporation Ltd.</v>
          </cell>
        </row>
        <row r="212">
          <cell r="B212" t="str">
            <v>PP00197</v>
          </cell>
          <cell r="C212" t="str">
            <v>Madhya Pradesh</v>
          </cell>
          <cell r="D212" t="str">
            <v xml:space="preserve">Lanco Amarkantak </v>
          </cell>
        </row>
        <row r="213">
          <cell r="B213" t="str">
            <v>PP00198</v>
          </cell>
          <cell r="C213" t="str">
            <v>Himachal Pradesh</v>
          </cell>
          <cell r="D213" t="str">
            <v>Central University of Himachal Pradesh</v>
          </cell>
        </row>
        <row r="214">
          <cell r="B214" t="str">
            <v>PP00199</v>
          </cell>
          <cell r="C214" t="str">
            <v>Pan India</v>
          </cell>
        </row>
        <row r="215">
          <cell r="B215" t="str">
            <v>PP00200</v>
          </cell>
          <cell r="C215" t="str">
            <v>NCT of Delhi</v>
          </cell>
          <cell r="D215" t="str">
            <v>National Buildings Construction Corporation</v>
          </cell>
        </row>
        <row r="216">
          <cell r="B216" t="str">
            <v>PP00201</v>
          </cell>
          <cell r="C216" t="str">
            <v>Uttar Pradesh</v>
          </cell>
          <cell r="D216" t="str">
            <v>U.P. State Construction And Infrastructure Development Corporation Limited</v>
          </cell>
        </row>
        <row r="217">
          <cell r="B217" t="str">
            <v>PP00202</v>
          </cell>
          <cell r="C217" t="str">
            <v>Uttarakhand</v>
          </cell>
          <cell r="D217" t="str">
            <v>Project Implementation Unit (PIU), PWD Thuligad Tanakpur</v>
          </cell>
        </row>
        <row r="218">
          <cell r="B218" t="str">
            <v>PP00203</v>
          </cell>
          <cell r="C218" t="str">
            <v>Uttar Pradesh</v>
          </cell>
        </row>
        <row r="219">
          <cell r="B219" t="str">
            <v>PP00204</v>
          </cell>
          <cell r="C219" t="str">
            <v>Rajasthan</v>
          </cell>
          <cell r="D219" t="str">
            <v>Rajasthan Rajya Vidyut Utpadan Nigam</v>
          </cell>
        </row>
        <row r="220">
          <cell r="B220" t="str">
            <v>PP00205</v>
          </cell>
          <cell r="C220" t="str">
            <v>Haryana</v>
          </cell>
          <cell r="D220" t="str">
            <v>Public Health Engineering Department</v>
          </cell>
        </row>
        <row r="221">
          <cell r="B221" t="str">
            <v>PP00206</v>
          </cell>
          <cell r="C221" t="str">
            <v>Pan India</v>
          </cell>
          <cell r="D221" t="str">
            <v>National Horticulture Board</v>
          </cell>
        </row>
        <row r="222">
          <cell r="B222" t="str">
            <v>PP00207</v>
          </cell>
          <cell r="C222" t="str">
            <v>Lakshadweep, Daman &amp; Diu, Dadra &amp; Nagar Haveli</v>
          </cell>
          <cell r="D222" t="str">
            <v>Administration of Lakshadweep</v>
          </cell>
        </row>
        <row r="223">
          <cell r="B223" t="str">
            <v>PP00208</v>
          </cell>
          <cell r="C223" t="str">
            <v>Pan India</v>
          </cell>
        </row>
        <row r="224">
          <cell r="B224" t="str">
            <v>PP00209</v>
          </cell>
          <cell r="C224" t="str">
            <v>Uttar Pradesh</v>
          </cell>
          <cell r="D224" t="str">
            <v>Construction &amp; Design Services U.P. Jal Nigam</v>
          </cell>
        </row>
        <row r="225">
          <cell r="B225" t="str">
            <v>PP00210</v>
          </cell>
          <cell r="C225" t="str">
            <v>Pan India</v>
          </cell>
        </row>
        <row r="226">
          <cell r="B226" t="str">
            <v>PP00211</v>
          </cell>
          <cell r="C226" t="str">
            <v>Andhra Pradesh</v>
          </cell>
          <cell r="D226" t="str">
            <v>Department of Education</v>
          </cell>
        </row>
        <row r="227">
          <cell r="B227" t="str">
            <v>PP00212</v>
          </cell>
          <cell r="C227" t="str">
            <v>Pan India</v>
          </cell>
          <cell r="D227" t="str">
            <v>Bureau of Indian Standards</v>
          </cell>
        </row>
        <row r="228">
          <cell r="B228" t="str">
            <v>PP00213</v>
          </cell>
          <cell r="C228" t="str">
            <v>Pan India</v>
          </cell>
        </row>
        <row r="229">
          <cell r="B229" t="str">
            <v>PP00214</v>
          </cell>
          <cell r="C229" t="str">
            <v>Pan India</v>
          </cell>
          <cell r="D229" t="str">
            <v>Central Bureau of Communication</v>
          </cell>
        </row>
        <row r="230">
          <cell r="B230" t="str">
            <v>PP00215</v>
          </cell>
          <cell r="C230" t="str">
            <v>Pan India</v>
          </cell>
        </row>
        <row r="231">
          <cell r="B231" t="str">
            <v>PP00216</v>
          </cell>
          <cell r="C231" t="str">
            <v>Maharashtra</v>
          </cell>
        </row>
        <row r="232">
          <cell r="B232" t="str">
            <v>PP00217</v>
          </cell>
          <cell r="C232" t="str">
            <v>Pan India</v>
          </cell>
        </row>
        <row r="233">
          <cell r="B233" t="str">
            <v>PP00218</v>
          </cell>
          <cell r="C233" t="str">
            <v>Gujarat</v>
          </cell>
          <cell r="D233" t="str">
            <v>Gujarat State Road Transport Corporation (GSRTC)</v>
          </cell>
        </row>
        <row r="234">
          <cell r="B234" t="str">
            <v>PP00219</v>
          </cell>
          <cell r="C234" t="str">
            <v>Tamil Nadu</v>
          </cell>
          <cell r="D234" t="str">
            <v>TANGEDCO</v>
          </cell>
        </row>
        <row r="235">
          <cell r="B235" t="str">
            <v>PP00220</v>
          </cell>
          <cell r="C235" t="str">
            <v>Pan India</v>
          </cell>
        </row>
        <row r="236">
          <cell r="B236" t="str">
            <v>PP00221</v>
          </cell>
          <cell r="C236" t="str">
            <v>Pan India</v>
          </cell>
        </row>
        <row r="237">
          <cell r="B237" t="str">
            <v>PP00222</v>
          </cell>
          <cell r="C237" t="str">
            <v>Andhra Pradesh</v>
          </cell>
          <cell r="D237" t="str">
            <v>Department of Education</v>
          </cell>
        </row>
        <row r="238">
          <cell r="B238" t="str">
            <v>PP00223</v>
          </cell>
          <cell r="C238" t="str">
            <v>Pan India</v>
          </cell>
        </row>
        <row r="239">
          <cell r="B239" t="str">
            <v>PP00224</v>
          </cell>
          <cell r="C239" t="str">
            <v>Uttar Pradesh</v>
          </cell>
          <cell r="D239" t="str">
            <v>Madhyanchal Vidyut Vitaran Nigam Ltd. (MVVNL)</v>
          </cell>
        </row>
        <row r="240">
          <cell r="B240" t="str">
            <v>PP00225</v>
          </cell>
          <cell r="C240" t="str">
            <v>Gujarat</v>
          </cell>
          <cell r="D240" t="str">
            <v>GSECL</v>
          </cell>
        </row>
        <row r="241">
          <cell r="B241" t="str">
            <v>PP00226</v>
          </cell>
          <cell r="C241" t="str">
            <v>Gujarat</v>
          </cell>
          <cell r="D241" t="str">
            <v>Urban Development and Urban Housing Department</v>
          </cell>
        </row>
        <row r="242">
          <cell r="B242" t="str">
            <v>PP00227</v>
          </cell>
          <cell r="C242" t="str">
            <v>Pan India</v>
          </cell>
          <cell r="D242" t="str">
            <v>FCI</v>
          </cell>
        </row>
        <row r="243">
          <cell r="B243" t="str">
            <v>PP00228</v>
          </cell>
          <cell r="C243" t="str">
            <v>Uttar Pradesh</v>
          </cell>
          <cell r="D243" t="str">
            <v>Varanasi Development Authority</v>
          </cell>
        </row>
        <row r="244">
          <cell r="B244" t="str">
            <v>PP00229</v>
          </cell>
          <cell r="C244" t="str">
            <v>Pan India</v>
          </cell>
          <cell r="D244" t="str">
            <v>SCCL</v>
          </cell>
        </row>
        <row r="245">
          <cell r="B245" t="str">
            <v>PP00230</v>
          </cell>
          <cell r="C245" t="str">
            <v>Jharkhand</v>
          </cell>
          <cell r="D245" t="str">
            <v>SAIL CHASNALLA</v>
          </cell>
        </row>
        <row r="246">
          <cell r="B246" t="str">
            <v>PP00231</v>
          </cell>
          <cell r="C246" t="str">
            <v>Pan India</v>
          </cell>
        </row>
        <row r="247">
          <cell r="B247" t="str">
            <v>PP00232</v>
          </cell>
          <cell r="C247" t="str">
            <v>Pan India</v>
          </cell>
        </row>
        <row r="248">
          <cell r="B248" t="str">
            <v>PP00233</v>
          </cell>
          <cell r="C248" t="str">
            <v>Pan India</v>
          </cell>
        </row>
        <row r="249">
          <cell r="B249" t="str">
            <v>PP00234</v>
          </cell>
          <cell r="C249" t="str">
            <v>Haryana</v>
          </cell>
        </row>
        <row r="250">
          <cell r="B250" t="str">
            <v>PP00235</v>
          </cell>
          <cell r="C250" t="str">
            <v>Uttar Pradesh</v>
          </cell>
          <cell r="D250" t="str">
            <v xml:space="preserve">Nagar Nigam, Moradabad </v>
          </cell>
        </row>
        <row r="251">
          <cell r="B251" t="str">
            <v>PP00236</v>
          </cell>
          <cell r="C251" t="str">
            <v>Pan India</v>
          </cell>
          <cell r="D251" t="str">
            <v>Ministry of Food Processing &amp; Industries</v>
          </cell>
        </row>
        <row r="252">
          <cell r="B252" t="str">
            <v>PP00237</v>
          </cell>
          <cell r="C252" t="str">
            <v>Odisha</v>
          </cell>
        </row>
        <row r="253">
          <cell r="B253" t="str">
            <v>PP00238</v>
          </cell>
          <cell r="C253" t="str">
            <v>Jharkhand</v>
          </cell>
          <cell r="D253" t="str">
            <v>NTPC Limited</v>
          </cell>
        </row>
        <row r="254">
          <cell r="B254" t="str">
            <v>PP00239</v>
          </cell>
          <cell r="C254" t="str">
            <v>Maharashtra</v>
          </cell>
        </row>
        <row r="255">
          <cell r="B255" t="str">
            <v>PP00240</v>
          </cell>
          <cell r="C255" t="str">
            <v>Gujarat</v>
          </cell>
          <cell r="D255" t="str">
            <v>Commissionerate of Rural Development</v>
          </cell>
        </row>
        <row r="256">
          <cell r="B256" t="str">
            <v>PP00241</v>
          </cell>
          <cell r="C256" t="str">
            <v>Pan India</v>
          </cell>
          <cell r="D256" t="str">
            <v>AMRUT</v>
          </cell>
        </row>
        <row r="257">
          <cell r="B257" t="str">
            <v>PP00242</v>
          </cell>
          <cell r="C257" t="str">
            <v>Pan India</v>
          </cell>
          <cell r="D257" t="str">
            <v>MHA</v>
          </cell>
        </row>
        <row r="258">
          <cell r="B258" t="str">
            <v>PP00243</v>
          </cell>
          <cell r="C258" t="str">
            <v>Uttar Pradesh</v>
          </cell>
          <cell r="D258" t="str">
            <v>Uttar Pradesh State Tourism Development Corporation Ltd. (UPSTDC)</v>
          </cell>
        </row>
        <row r="259">
          <cell r="B259" t="str">
            <v>PP00244</v>
          </cell>
          <cell r="C259" t="str">
            <v>Pan India</v>
          </cell>
          <cell r="D259" t="str">
            <v>National Handloom Development Corporation Ltd. (NHDC)</v>
          </cell>
        </row>
        <row r="260">
          <cell r="B260" t="str">
            <v>PP00245</v>
          </cell>
          <cell r="C260" t="str">
            <v>Pan India</v>
          </cell>
          <cell r="D260" t="str">
            <v>CBC</v>
          </cell>
        </row>
        <row r="261">
          <cell r="B261" t="str">
            <v>PP00246</v>
          </cell>
          <cell r="C261" t="str">
            <v>Chattisgarh</v>
          </cell>
          <cell r="D261" t="str">
            <v>Chhattisgarh State Power Generation Company Limited</v>
          </cell>
        </row>
        <row r="262">
          <cell r="B262" t="str">
            <v>PP00247</v>
          </cell>
          <cell r="C262" t="str">
            <v>Gujarat</v>
          </cell>
          <cell r="D262" t="str">
            <v>Tourism Corporation of Gujarat Limited</v>
          </cell>
        </row>
        <row r="263">
          <cell r="B263" t="str">
            <v>PP00248</v>
          </cell>
          <cell r="C263" t="str">
            <v>Uttar Pradesh</v>
          </cell>
          <cell r="D263" t="str">
            <v xml:space="preserve">Nagar Nigam, Moradabad </v>
          </cell>
        </row>
        <row r="264">
          <cell r="B264" t="str">
            <v>PP00249</v>
          </cell>
          <cell r="C264" t="str">
            <v>Haryana</v>
          </cell>
          <cell r="D264" t="str">
            <v>Public Health Engineering Department</v>
          </cell>
        </row>
        <row r="265">
          <cell r="B265" t="str">
            <v>PP00250</v>
          </cell>
          <cell r="C265" t="str">
            <v>Pan India</v>
          </cell>
          <cell r="D265" t="str">
            <v>MoJS</v>
          </cell>
        </row>
        <row r="266">
          <cell r="B266" t="str">
            <v>PP00251</v>
          </cell>
          <cell r="C266" t="str">
            <v>Pan India</v>
          </cell>
          <cell r="D266" t="str">
            <v>MoJS</v>
          </cell>
        </row>
        <row r="267">
          <cell r="B267" t="str">
            <v>PP00252</v>
          </cell>
          <cell r="C267" t="str">
            <v>Uttar Pradesh</v>
          </cell>
          <cell r="D267" t="str">
            <v>Agra Municipal Corporation</v>
          </cell>
        </row>
        <row r="268">
          <cell r="B268" t="str">
            <v>PP00253</v>
          </cell>
          <cell r="C268" t="str">
            <v>Uttar Pradesh</v>
          </cell>
          <cell r="D268" t="str">
            <v>U.P. Projects Corporation Limited (UPPCL)</v>
          </cell>
        </row>
        <row r="269">
          <cell r="B269" t="str">
            <v>PP00254</v>
          </cell>
          <cell r="C269" t="str">
            <v>Odisha</v>
          </cell>
          <cell r="D269" t="str">
            <v>Odisha State Civil Supplies Corporation (OSCSC)</v>
          </cell>
        </row>
        <row r="270">
          <cell r="B270" t="str">
            <v>PP00255</v>
          </cell>
          <cell r="C270" t="str">
            <v>NCT of Delhi</v>
          </cell>
          <cell r="D270" t="str">
            <v>National Buildings Construction Corporation Limited</v>
          </cell>
        </row>
        <row r="271">
          <cell r="B271" t="str">
            <v>PP00256</v>
          </cell>
          <cell r="C271" t="str">
            <v>Bihar</v>
          </cell>
          <cell r="D271" t="str">
            <v>Bihar Institute of Public Administration &amp; Rural Development (BIPARD)</v>
          </cell>
        </row>
        <row r="272">
          <cell r="B272" t="str">
            <v>PP00257</v>
          </cell>
          <cell r="C272" t="str">
            <v>Andhra Pradesh</v>
          </cell>
          <cell r="D272" t="str">
            <v>Samagra Shiksha, Department of Education</v>
          </cell>
        </row>
        <row r="273">
          <cell r="B273" t="str">
            <v>PP00258</v>
          </cell>
          <cell r="C273" t="str">
            <v>Pan India</v>
          </cell>
        </row>
        <row r="274">
          <cell r="B274" t="str">
            <v>PP00259</v>
          </cell>
          <cell r="C274" t="str">
            <v>Pan India</v>
          </cell>
          <cell r="D274" t="str">
            <v>FSSAI</v>
          </cell>
        </row>
        <row r="275">
          <cell r="B275" t="str">
            <v>PP00260</v>
          </cell>
          <cell r="C275" t="str">
            <v>Pan India</v>
          </cell>
        </row>
        <row r="276">
          <cell r="B276" t="str">
            <v>PP00261</v>
          </cell>
          <cell r="C276" t="str">
            <v>Pan India</v>
          </cell>
          <cell r="D276" t="str">
            <v>Department of Administrative Reforms and Public Grievances</v>
          </cell>
        </row>
        <row r="277">
          <cell r="B277" t="str">
            <v>PP00262</v>
          </cell>
          <cell r="C277" t="str">
            <v>NCT of Delhi</v>
          </cell>
          <cell r="D277" t="str">
            <v>Jamia Millia Islamia</v>
          </cell>
        </row>
        <row r="278">
          <cell r="B278" t="str">
            <v>PP00263</v>
          </cell>
          <cell r="C278" t="str">
            <v>Pan India</v>
          </cell>
          <cell r="D278" t="str">
            <v>Department of Administrative Reforms and Public Grievances</v>
          </cell>
        </row>
        <row r="279">
          <cell r="B279" t="str">
            <v>PP00265</v>
          </cell>
          <cell r="C279" t="str">
            <v>Karnataka</v>
          </cell>
          <cell r="D279" t="str">
            <v>KPCL, RPCL</v>
          </cell>
        </row>
        <row r="280">
          <cell r="B280" t="str">
            <v>PP00266</v>
          </cell>
          <cell r="C280" t="str">
            <v>Bhopal</v>
          </cell>
          <cell r="D280" t="str">
            <v>Bhopal Municipal Corporation</v>
          </cell>
        </row>
        <row r="281">
          <cell r="B281" t="str">
            <v>PP00267</v>
          </cell>
          <cell r="C281" t="str">
            <v>Pan India</v>
          </cell>
        </row>
        <row r="282">
          <cell r="B282" t="str">
            <v>PP00268</v>
          </cell>
          <cell r="C282" t="str">
            <v>Odisha</v>
          </cell>
          <cell r="D282" t="str">
            <v>NLC India Limited</v>
          </cell>
        </row>
        <row r="283">
          <cell r="B283" t="str">
            <v>PP00269</v>
          </cell>
          <cell r="C283" t="str">
            <v>Pan India</v>
          </cell>
        </row>
        <row r="284">
          <cell r="B284" t="str">
            <v>PP00270</v>
          </cell>
          <cell r="C284" t="str">
            <v>Pan India</v>
          </cell>
          <cell r="D284" t="str">
            <v>Ministry of Housing and Urban Affairs</v>
          </cell>
        </row>
        <row r="285">
          <cell r="B285" t="str">
            <v>PP00271</v>
          </cell>
          <cell r="C285" t="str">
            <v>Gujarat</v>
          </cell>
          <cell r="D285" t="str">
            <v>Gujtour Development Company Ltd</v>
          </cell>
        </row>
        <row r="286">
          <cell r="B286" t="str">
            <v>PP00272</v>
          </cell>
          <cell r="C286" t="str">
            <v>Pan India</v>
          </cell>
        </row>
        <row r="287">
          <cell r="B287" t="str">
            <v>PP00273</v>
          </cell>
          <cell r="C287" t="str">
            <v>Pan India</v>
          </cell>
          <cell r="D287" t="str">
            <v>Ministry of Culture</v>
          </cell>
        </row>
        <row r="288">
          <cell r="B288" t="str">
            <v>PP00274</v>
          </cell>
          <cell r="C288" t="str">
            <v>Uttar Pradesh</v>
          </cell>
          <cell r="D288" t="str">
            <v>Kanpur Electricity Supply Company</v>
          </cell>
        </row>
        <row r="289">
          <cell r="B289" t="str">
            <v>PP00275</v>
          </cell>
          <cell r="C289" t="str">
            <v>Uttar Pradesh</v>
          </cell>
          <cell r="D289" t="str">
            <v>Nagar Nigam Mathura Vrindavan</v>
          </cell>
        </row>
        <row r="290">
          <cell r="B290" t="str">
            <v>PP00276</v>
          </cell>
          <cell r="C290" t="str">
            <v>Uttar Pradesh</v>
          </cell>
          <cell r="D290" t="str">
            <v xml:space="preserve">Barelley Development Authority </v>
          </cell>
        </row>
        <row r="291">
          <cell r="B291" t="str">
            <v>PP00277</v>
          </cell>
          <cell r="C291" t="str">
            <v>Maharashtra</v>
          </cell>
          <cell r="D291" t="str">
            <v>Government of Maharashtra</v>
          </cell>
        </row>
        <row r="292">
          <cell r="B292" t="str">
            <v>PP00278</v>
          </cell>
          <cell r="C292" t="str">
            <v>Gujarat</v>
          </cell>
          <cell r="D292" t="str">
            <v>Roads &amp; Buildings Department , Gujarat</v>
          </cell>
        </row>
        <row r="293">
          <cell r="B293" t="str">
            <v>PP00279</v>
          </cell>
          <cell r="C293" t="str">
            <v>Gujarat</v>
          </cell>
          <cell r="D293" t="str">
            <v>Directorate of Evaluation (DoE), Govt. of Gujarat</v>
          </cell>
        </row>
        <row r="294">
          <cell r="B294" t="str">
            <v>PP00280</v>
          </cell>
          <cell r="C294" t="str">
            <v>Uttar Pradesh</v>
          </cell>
          <cell r="D294" t="str">
            <v>Kanpur Electricity Supply Company</v>
          </cell>
        </row>
        <row r="295">
          <cell r="B295" t="str">
            <v>PP00281</v>
          </cell>
          <cell r="C295" t="str">
            <v>Karnataka</v>
          </cell>
          <cell r="D295" t="str">
            <v>NIUA</v>
          </cell>
        </row>
        <row r="296">
          <cell r="B296" t="str">
            <v>PP00282</v>
          </cell>
        </row>
        <row r="297">
          <cell r="B297" t="str">
            <v>PP00283</v>
          </cell>
          <cell r="C297" t="str">
            <v>Pan India</v>
          </cell>
          <cell r="D297" t="str">
            <v>Ministry of Culture</v>
          </cell>
        </row>
        <row r="298">
          <cell r="B298" t="str">
            <v>PP00284</v>
          </cell>
          <cell r="C298" t="str">
            <v>Madhya Pradesh</v>
          </cell>
          <cell r="D298" t="str">
            <v>NIUA</v>
          </cell>
        </row>
        <row r="299">
          <cell r="B299" t="str">
            <v>PP00285</v>
          </cell>
          <cell r="C299" t="str">
            <v>Uttar Pradesh</v>
          </cell>
          <cell r="D299" t="str">
            <v>U.P. State Archaeology Department</v>
          </cell>
        </row>
        <row r="300">
          <cell r="B300" t="str">
            <v>PP00286</v>
          </cell>
          <cell r="D300" t="str">
            <v>Department of Animal Husbandry &amp; Dairying (DAHD), Ministry of Fisheries, Animal Husbandry and Dairying, GoI</v>
          </cell>
        </row>
        <row r="301">
          <cell r="B301" t="str">
            <v>PP00287</v>
          </cell>
          <cell r="C301" t="str">
            <v>Chattisgarh</v>
          </cell>
        </row>
        <row r="302">
          <cell r="B302" t="str">
            <v>PP00288</v>
          </cell>
          <cell r="D302" t="str">
            <v>National Institute of Public Cooperation and Child Development (NIPCCD)</v>
          </cell>
        </row>
        <row r="303">
          <cell r="B303" t="str">
            <v>PP00289</v>
          </cell>
          <cell r="C303" t="str">
            <v>Uttarakhand</v>
          </cell>
          <cell r="D303" t="str">
            <v>NBCC</v>
          </cell>
        </row>
        <row r="304">
          <cell r="B304" t="str">
            <v>PP00290</v>
          </cell>
          <cell r="C304" t="str">
            <v>NCT of Delhi</v>
          </cell>
          <cell r="D304" t="str">
            <v>NBCC</v>
          </cell>
        </row>
        <row r="305">
          <cell r="B305" t="str">
            <v>PP00291</v>
          </cell>
        </row>
        <row r="306">
          <cell r="B306" t="str">
            <v>PP00292</v>
          </cell>
          <cell r="D306" t="str">
            <v>Ministry of Tribal Affairs</v>
          </cell>
        </row>
        <row r="307">
          <cell r="B307" t="str">
            <v>PP00293</v>
          </cell>
          <cell r="D307" t="str">
            <v>Ministry of Culture</v>
          </cell>
        </row>
        <row r="308">
          <cell r="B308" t="str">
            <v>PP00294</v>
          </cell>
          <cell r="D308" t="str">
            <v>Ministry of Women and Child Development</v>
          </cell>
        </row>
        <row r="309">
          <cell r="B309" t="str">
            <v>PP00295</v>
          </cell>
          <cell r="D309" t="str">
            <v>Ministry of Tourism</v>
          </cell>
        </row>
        <row r="310">
          <cell r="B310" t="str">
            <v>PP00296</v>
          </cell>
          <cell r="D310" t="str">
            <v>Bureau of Police Research and Development, MHA</v>
          </cell>
        </row>
        <row r="311">
          <cell r="B311" t="str">
            <v>PP00297</v>
          </cell>
          <cell r="D311" t="str">
            <v>Department of Justice</v>
          </cell>
        </row>
        <row r="312">
          <cell r="B312" t="str">
            <v>PP00298</v>
          </cell>
          <cell r="D312" t="str">
            <v>Ministry of Ayush</v>
          </cell>
        </row>
        <row r="313">
          <cell r="B313" t="str">
            <v>PP00299</v>
          </cell>
          <cell r="D313" t="str">
            <v>Department of Animal Husbandry &amp; Dairying (DAHD), Ministry of Fisheries, Animal Husbandry and Dairying, GoI</v>
          </cell>
        </row>
        <row r="314">
          <cell r="B314" t="str">
            <v>PP00300</v>
          </cell>
          <cell r="D314" t="str">
            <v>NBCC</v>
          </cell>
        </row>
        <row r="315">
          <cell r="B315" t="str">
            <v>PP00301</v>
          </cell>
          <cell r="D315" t="str">
            <v>NBCC</v>
          </cell>
        </row>
        <row r="316">
          <cell r="B316" t="str">
            <v>PP00302</v>
          </cell>
          <cell r="D316" t="str">
            <v>DPIIT</v>
          </cell>
        </row>
        <row r="317">
          <cell r="B317" t="str">
            <v>PP00303</v>
          </cell>
          <cell r="C317" t="str">
            <v>Gujarat</v>
          </cell>
        </row>
        <row r="318">
          <cell r="B318" t="str">
            <v>PP00304</v>
          </cell>
          <cell r="D318" t="str">
            <v xml:space="preserve">Department for Promotion of Industry and Internal Trade </v>
          </cell>
        </row>
        <row r="319">
          <cell r="B319" t="str">
            <v>Yet to be generated</v>
          </cell>
          <cell r="C319" t="str">
            <v>Pan India</v>
          </cell>
        </row>
        <row r="320">
          <cell r="B320" t="str">
            <v>Yet to be granted</v>
          </cell>
          <cell r="C320" t="str">
            <v>Pan India</v>
          </cell>
          <cell r="D320" t="str">
            <v>Department of Animal Husbandry &amp; Dairying (DAHD), Ministry of Fisheries, Animal Husbandry and Dairying, GoI</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bined "/>
      <sheetName val="Sheet1"/>
      <sheetName val="Nomination"/>
      <sheetName val="RFP"/>
    </sheetNames>
    <sheetDataSet>
      <sheetData sheetId="0">
        <row r="1">
          <cell r="E1" t="str">
            <v>Project Code</v>
          </cell>
          <cell r="F1" t="str">
            <v>Nature of Project</v>
          </cell>
          <cell r="G1" t="str">
            <v>Award Type</v>
          </cell>
          <cell r="H1" t="str">
            <v>Work Order Value</v>
          </cell>
          <cell r="I1" t="str">
            <v xml:space="preserve">Project Status </v>
          </cell>
          <cell r="J1" t="str">
            <v>Client/Ministry/Department Name</v>
          </cell>
          <cell r="K1" t="str">
            <v>Sector/Domain</v>
          </cell>
          <cell r="L1" t="str">
            <v>Project Start Date
(DD-MM-YYYY)</v>
          </cell>
          <cell r="M1" t="str">
            <v>Project End Date
(DD/MM/YYYY)</v>
          </cell>
          <cell r="N1" t="str">
            <v>Project Revised End Date
(DD/MM/YYYY)</v>
          </cell>
          <cell r="O1" t="str">
            <v>Extension comments</v>
          </cell>
          <cell r="P1" t="str">
            <v>Project Objective
 (in brief)</v>
          </cell>
          <cell r="Q1" t="str">
            <v>Nature of Project</v>
          </cell>
          <cell r="R1" t="str">
            <v>Sheet Last Updated for the Month</v>
          </cell>
          <cell r="S1" t="str">
            <v>Actual Headcount in Aug 25</v>
          </cell>
          <cell r="T1" t="str">
            <v>Actual Headcount in Sep 25</v>
          </cell>
          <cell r="U1" t="str">
            <v>Comment for difference</v>
          </cell>
          <cell r="V1" t="str">
            <v>Timeline Adherence</v>
          </cell>
          <cell r="W1" t="str">
            <v>Comment if not as per planned schedule</v>
          </cell>
          <cell r="X1" t="str">
            <v>Cost Adherence (Budgeted vs Actual)</v>
          </cell>
          <cell r="Y1" t="str">
            <v>Comment if not in accordance with the budget</v>
          </cell>
          <cell r="Z1" t="str">
            <v>Are invoices raised as per the milestones</v>
          </cell>
          <cell r="AA1" t="str">
            <v>Comment if invoices are not raised as per the milestone with Reasons and Next steps</v>
          </cell>
          <cell r="AB1" t="str">
            <v>Deliverables Adherence</v>
          </cell>
          <cell r="AC1" t="str">
            <v>Comment if deliverables are not met</v>
          </cell>
          <cell r="AD1" t="str">
            <v>Outcomes achieved/Impact created</v>
          </cell>
          <cell r="AE1" t="str">
            <v>Key milestones achieved in Sep 25</v>
          </cell>
          <cell r="AF1" t="str">
            <v>Key deliverables planned for Oct 25</v>
          </cell>
          <cell r="AG1" t="str">
            <v>Challenges faced</v>
          </cell>
        </row>
        <row r="2">
          <cell r="E2" t="str">
            <v>PB00012</v>
          </cell>
          <cell r="F2" t="str">
            <v>Pro-Bono</v>
          </cell>
          <cell r="G2"/>
          <cell r="H2" t="str">
            <v>N/A</v>
          </cell>
          <cell r="I2" t="str">
            <v>Ongoing</v>
          </cell>
          <cell r="J2" t="str">
            <v>Nashik Municipal Corporation</v>
          </cell>
          <cell r="K2" t="str">
            <v>Sanitaion, Education and Skill development</v>
          </cell>
          <cell r="L2">
            <v>45075</v>
          </cell>
          <cell r="M2">
            <v>46171</v>
          </cell>
          <cell r="N2"/>
          <cell r="O2"/>
          <cell r="P2" t="str">
            <v>QCI has been engaged by Nashik Municipal Corporation for one of its kind Quality City initiative aiming for situational analysis of different sectors and provide on ground implementation support for several initiatives.</v>
          </cell>
          <cell r="Q2" t="str">
            <v>PMU/PMC</v>
          </cell>
          <cell r="R2" t="str">
            <v>Mar'25</v>
          </cell>
          <cell r="S2"/>
          <cell r="T2"/>
          <cell r="U2"/>
          <cell r="V2" t="str">
            <v>On Schedule</v>
          </cell>
          <cell r="W2"/>
          <cell r="X2" t="str">
            <v>Over Budget</v>
          </cell>
          <cell r="Y2" t="str">
            <v>Since there was no budget alloted by the senior management</v>
          </cell>
          <cell r="Z2" t="str">
            <v>Yes</v>
          </cell>
          <cell r="AA2"/>
          <cell r="AB2" t="str">
            <v>All deliverables met</v>
          </cell>
          <cell r="AC2"/>
          <cell r="AD2" t="str">
            <v>Under the Swachhta Hi Seva Hai initiative, a comprehensive community outreach program was successfully conducted, encompassing a cleanliness drive across four strategic locations and tree plantation at two sites, promoting environmental sustainability. Additionally, an inter-divisional cricket match among Solid Waste Management divisions fostered teamwork and camaraderie, reinforcing the initiative's mission to enhance community engagement, cleanliness, and eco-friendliness.</v>
          </cell>
          <cell r="AE2" t="str">
            <v>Establish five RRR (Reduce, Reuse, Recycle) collection centers.
Revisit all toilets and treatment plants for Garbage-Free City (GFC) and Open Defecation Free (ODF) assessments.
Assist the Municipal Corporation in executing Information, Education, and Communication (IEC) activities.
Engage with Self-Help Groups (SHGs) and NGOs to establish partnerships under the Quality City Nashik Mission.
Organize a city-wide Swachh Drive to promote cleanliness and public participation.</v>
          </cell>
          <cell r="AF2"/>
          <cell r="AG2"/>
        </row>
        <row r="3">
          <cell r="E3" t="str">
            <v>PB00014</v>
          </cell>
          <cell r="F3" t="str">
            <v>Pro-Bono</v>
          </cell>
          <cell r="G3" t="str">
            <v>Nomination</v>
          </cell>
          <cell r="H3"/>
          <cell r="I3" t="str">
            <v>Fully Closed</v>
          </cell>
          <cell r="J3" t="str">
            <v>Cooperative</v>
          </cell>
          <cell r="K3" t="str">
            <v>Bio energy</v>
          </cell>
          <cell r="L3">
            <v>45087</v>
          </cell>
          <cell r="M3">
            <v>45475</v>
          </cell>
          <cell r="N3"/>
          <cell r="O3"/>
          <cell r="P3" t="str">
            <v>To assess the quality of Biogas getting produced at their Biogas plant located in Palanpur</v>
          </cell>
          <cell r="Q3" t="str">
            <v>TPI/TPA/TPE</v>
          </cell>
          <cell r="R3">
            <v>45565</v>
          </cell>
          <cell r="S3"/>
          <cell r="T3"/>
          <cell r="U3"/>
          <cell r="V3" t="str">
            <v>On Schedule</v>
          </cell>
          <cell r="W3"/>
          <cell r="X3" t="str">
            <v>Within Budget</v>
          </cell>
          <cell r="Y3"/>
          <cell r="Z3" t="str">
            <v>No</v>
          </cell>
          <cell r="AA3"/>
          <cell r="AB3" t="str">
            <v>All deliverables met</v>
          </cell>
          <cell r="AC3"/>
          <cell r="AD3" t="str">
            <v>1. The Quality Assessment of Biogas marked a pivotal advancement in ensuring the quality of biogas production. The pilot project established a standardized methodology for evaluating biogas quality, with rigorous testing confirming compliance with IS 16087 standards. Sampling and analysis by NABL-accredited laboratories validated high methane content and low impurities.</v>
          </cell>
          <cell r="AE3"/>
          <cell r="AF3"/>
          <cell r="AG3"/>
        </row>
        <row r="4">
          <cell r="E4" t="str">
            <v>PB00015</v>
          </cell>
          <cell r="F4" t="str">
            <v>Pro-Bono</v>
          </cell>
          <cell r="G4" t="str">
            <v>Nomination</v>
          </cell>
          <cell r="H4"/>
          <cell r="I4" t="str">
            <v>Fully Closed</v>
          </cell>
          <cell r="J4" t="str">
            <v>DFPD</v>
          </cell>
          <cell r="K4" t="str">
            <v>Food</v>
          </cell>
          <cell r="L4">
            <v>45055</v>
          </cell>
          <cell r="M4">
            <v>45239</v>
          </cell>
          <cell r="N4"/>
          <cell r="O4"/>
          <cell r="P4" t="str">
            <v>Conduct a study about the receipt of free-of-cost food grains under the scheme PMGKAY and beneficiary satisfaction through an on-ground survey.</v>
          </cell>
          <cell r="Q4" t="str">
            <v>TPI/TPA/TPE</v>
          </cell>
          <cell r="R4">
            <v>45627</v>
          </cell>
          <cell r="S4"/>
          <cell r="T4"/>
          <cell r="U4"/>
          <cell r="V4"/>
          <cell r="W4"/>
          <cell r="X4"/>
          <cell r="Y4"/>
          <cell r="Z4"/>
          <cell r="AA4"/>
          <cell r="AB4"/>
          <cell r="AC4"/>
          <cell r="AD4" t="str">
            <v>More than the required feedbacks were collected (nearly 104%) by QCI from across the Indian States/Uts barring six States/UTs namely Odisha, Lakshadweep, Mizoram, Manipur, Chandigarh and Puducherry as either we did not received support from the State or Direct Benefit Transfer (DBT) is applicable or due to civic unrest. The overall result come out to be positive.</v>
          </cell>
          <cell r="AE4"/>
          <cell r="AF4"/>
          <cell r="AG4"/>
        </row>
        <row r="5">
          <cell r="E5" t="str">
            <v>PB00017</v>
          </cell>
          <cell r="F5" t="str">
            <v>Income Based</v>
          </cell>
          <cell r="G5"/>
          <cell r="H5">
            <v>246400</v>
          </cell>
          <cell r="I5" t="str">
            <v>Fully Closed</v>
          </cell>
          <cell r="J5" t="str">
            <v>SILF</v>
          </cell>
          <cell r="K5" t="str">
            <v>Social Impact</v>
          </cell>
          <cell r="L5">
            <v>44938</v>
          </cell>
          <cell r="M5">
            <v>45350</v>
          </cell>
          <cell r="N5"/>
          <cell r="O5"/>
          <cell r="P5" t="str">
            <v>To conduct an impact evaluation of the livelihoods project in the Champa district of Chhattisgarh which will analyze the impact of the project on the lives of the beneficiaries and their family members, any substantive change in their socio-economic standing.</v>
          </cell>
          <cell r="Q5" t="str">
            <v>TPI/TPA/TPE</v>
          </cell>
          <cell r="R5">
            <v>45809</v>
          </cell>
          <cell r="S5"/>
          <cell r="T5"/>
          <cell r="U5"/>
          <cell r="V5"/>
          <cell r="W5"/>
          <cell r="X5"/>
          <cell r="Y5"/>
          <cell r="Z5"/>
          <cell r="AA5"/>
          <cell r="AB5"/>
          <cell r="AC5"/>
          <cell r="AD5" t="str">
            <v xml:space="preserve">Narrative analysis questionniare been developed and interviews conducted for beneficiaries who received funds from SILF to understand the in-depth impact. The final report with analysis has been submitted. </v>
          </cell>
          <cell r="AE5"/>
          <cell r="AF5"/>
          <cell r="AG5"/>
        </row>
        <row r="6">
          <cell r="E6" t="str">
            <v>PB00018</v>
          </cell>
          <cell r="F6" t="str">
            <v>Pro-Bono</v>
          </cell>
          <cell r="G6" t="str">
            <v>Nomination</v>
          </cell>
          <cell r="H6"/>
          <cell r="I6" t="str">
            <v>Fully Closed</v>
          </cell>
          <cell r="J6" t="str">
            <v>Ministry of Culture</v>
          </cell>
          <cell r="K6" t="str">
            <v>Arts, Culture &amp; Heritage</v>
          </cell>
          <cell r="L6">
            <v>45383</v>
          </cell>
          <cell r="M6">
            <v>45427</v>
          </cell>
          <cell r="N6"/>
          <cell r="O6"/>
          <cell r="P6" t="str">
            <v>The National Library functions as a Subordinative Office of the Ministry of Culture, Government of India. As part of Phase-1 Study of Organizations &amp; Central Sector Schemes of the Ministry of Culture, QCI had outlined broad recommendations for the National Library. The National Library then requested QCI to undertake a detailed review of its existing manpower, structure and governance models, and activities and make suggestions for changes. QCI reviewed the institution in detail: including their current recruitment rules, Staff Inspection Unit Report, and other previous reports highlighting human resource related issues of the National Library, governance, structure, objective and mandate. In order to understand the landscape further, QCI also studied organizational structures and hierarchy models of leading global libraries.</v>
          </cell>
          <cell r="Q6" t="str">
            <v>PMU/PMC</v>
          </cell>
          <cell r="R6">
            <v>45715</v>
          </cell>
          <cell r="S6"/>
          <cell r="T6"/>
          <cell r="U6"/>
          <cell r="V6" t="str">
            <v>On Schedule</v>
          </cell>
          <cell r="W6"/>
          <cell r="X6" t="str">
            <v>Within Budget</v>
          </cell>
          <cell r="Y6"/>
          <cell r="Z6" t="str">
            <v>No</v>
          </cell>
          <cell r="AA6"/>
          <cell r="AB6" t="str">
            <v>All deliverables met</v>
          </cell>
          <cell r="AC6" t="str">
            <v>NA</v>
          </cell>
          <cell r="AD6" t="str">
            <v xml:space="preserve">Restoration of 25% of the workforce at the National Library
Designing structure of a proposed digital department that can effectively help preserve 2+ million books 
Developed detailed KRAs of 500+ posts at the National Library 
</v>
          </cell>
          <cell r="AE6"/>
          <cell r="AF6"/>
          <cell r="AG6"/>
        </row>
        <row r="7">
          <cell r="E7" t="str">
            <v>PB00019</v>
          </cell>
          <cell r="F7" t="str">
            <v>Pro-Bono</v>
          </cell>
          <cell r="G7" t="str">
            <v>Nomination</v>
          </cell>
          <cell r="H7"/>
          <cell r="I7" t="str">
            <v>Ongoing</v>
          </cell>
          <cell r="J7" t="str">
            <v>Shri Somnath Trust</v>
          </cell>
          <cell r="K7" t="str">
            <v>Tourism</v>
          </cell>
          <cell r="L7">
            <v>45385</v>
          </cell>
          <cell r="M7">
            <v>45999</v>
          </cell>
          <cell r="N7"/>
          <cell r="O7"/>
          <cell r="P7" t="str">
            <v>The Somnath Trust has enlisted QCI's expertise to  conduct electrical and safety audit, conduct training for temple staff and security personnel, conduct a thorough cleanliness assessment, guide the trust in setting up their in-house lab for testing food and prasad.</v>
          </cell>
          <cell r="Q7" t="str">
            <v>TPI/TPA/TPE</v>
          </cell>
          <cell r="R7" t="str">
            <v>August</v>
          </cell>
          <cell r="S7">
            <v>0</v>
          </cell>
          <cell r="T7">
            <v>0</v>
          </cell>
          <cell r="U7"/>
          <cell r="V7" t="str">
            <v>Behind Schedule</v>
          </cell>
          <cell r="W7"/>
          <cell r="X7" t="str">
            <v>Within Budget</v>
          </cell>
          <cell r="Y7"/>
          <cell r="Z7" t="str">
            <v>No</v>
          </cell>
          <cell r="AA7"/>
          <cell r="AB7" t="str">
            <v>All deliverables met</v>
          </cell>
          <cell r="AC7"/>
          <cell r="AD7" t="str">
            <v>Capacity building and security personnel training have been completed. The DPR for lab setup has been submitted and is currently under discussion. A cleanliness assessment has also been conducted.</v>
          </cell>
          <cell r="AE7" t="str">
            <v>Preparation of temple worker training module</v>
          </cell>
          <cell r="AF7" t="str">
            <v>Training for Temple Workers</v>
          </cell>
          <cell r="AG7" t="str">
            <v>Challenge in getting the MoU signed, as Chairman of the Trust is Shri. Narender Modi.</v>
          </cell>
        </row>
        <row r="8">
          <cell r="E8" t="str">
            <v>PP00001</v>
          </cell>
          <cell r="F8" t="str">
            <v>Income Based</v>
          </cell>
          <cell r="G8" t="str">
            <v>Nomination</v>
          </cell>
          <cell r="H8"/>
          <cell r="I8" t="str">
            <v>Ongoing</v>
          </cell>
          <cell r="J8" t="str">
            <v>Coal India Limited</v>
          </cell>
          <cell r="K8" t="str">
            <v>Coal</v>
          </cell>
          <cell r="L8">
            <v>42881</v>
          </cell>
          <cell r="M8">
            <v>46532</v>
          </cell>
          <cell r="N8"/>
          <cell r="O8"/>
          <cell r="P8" t="str">
            <v xml:space="preserve">Collection, preparation and analysis of coal at loading points for non- power consumers and power sector consumers </v>
          </cell>
          <cell r="Q8" t="str">
            <v>TPI/TPA/TPE</v>
          </cell>
          <cell r="R8" t="str">
            <v>April'25</v>
          </cell>
          <cell r="S8" t="str">
            <v>125</v>
          </cell>
          <cell r="T8" t="str">
            <v>125</v>
          </cell>
          <cell r="U8"/>
          <cell r="V8" t="str">
            <v>On Schedule</v>
          </cell>
          <cell r="W8"/>
          <cell r="X8" t="str">
            <v>Within Budget</v>
          </cell>
          <cell r="Y8"/>
          <cell r="Z8" t="str">
            <v>Yes</v>
          </cell>
          <cell r="AA8" t="str">
            <v>Delay in the payments from the stakeholders. We are rigorously following up with the stakeholders for our pending payments</v>
          </cell>
          <cell r="AB8" t="str">
            <v>All deliverables met</v>
          </cell>
          <cell r="AC8"/>
          <cell r="AD8" t="str">
            <v xml:space="preserve">QCI has executed around 4,860+ tripartite agreements among the coal companies and 370+ coal consumers for facilitating the Third Party Sampling of coal (TPS). QCI has commenced it’s operations at 320+ loading/dispatch points across the CIL subsidiaries. More than 755+ Million Metric Tonnes of coal has been sampled since the inception and analysis results submitted within the 15 working days as per the service level agreement. </v>
          </cell>
          <cell r="AE8" t="str">
            <v>A total of 8.92 MMT has been sampled this month</v>
          </cell>
          <cell r="AF8" t="str">
            <v>To boost the project revenue by getting more stakeholders and also plan for executing the terms and conditions as per the agreement.</v>
          </cell>
          <cell r="AG8" t="str">
            <v>1) Local issues and political issues
2) Stakeholder Management</v>
          </cell>
        </row>
        <row r="9">
          <cell r="E9" t="str">
            <v>PP00031</v>
          </cell>
          <cell r="F9" t="str">
            <v>Income Based</v>
          </cell>
          <cell r="G9" t="str">
            <v>Nomination</v>
          </cell>
          <cell r="H9"/>
          <cell r="I9" t="str">
            <v>Fully Closed</v>
          </cell>
          <cell r="J9" t="str">
            <v>MoSJ</v>
          </cell>
          <cell r="K9" t="str">
            <v>Social Welfare</v>
          </cell>
          <cell r="L9">
            <v>42879</v>
          </cell>
          <cell r="M9" t="str">
            <v>NA</v>
          </cell>
          <cell r="N9"/>
          <cell r="O9"/>
          <cell r="P9" t="str">
            <v>Conducting Third-Party Assessment of selected products at ALIMCO's HQ and APCs. The annual assessment for ALIMCO's selected products is going on since 2018 wherein third-party assessment is being conducted at Kanpur and five Auxiliary Production Centers (APCs) of ALIMCO - Mohali, Ujjain, Jabalpur, Bhubaneswar and Bengaluru.</v>
          </cell>
          <cell r="Q9" t="str">
            <v>TPI/TPA/TPE</v>
          </cell>
          <cell r="R9" t="str">
            <v>October 3, 2025</v>
          </cell>
          <cell r="S9">
            <v>0</v>
          </cell>
          <cell r="T9">
            <v>0</v>
          </cell>
          <cell r="U9"/>
          <cell r="V9"/>
          <cell r="W9"/>
          <cell r="X9"/>
          <cell r="Y9"/>
          <cell r="Z9"/>
          <cell r="AA9"/>
          <cell r="AB9"/>
          <cell r="AC9"/>
          <cell r="AD9" t="str">
            <v xml:space="preserve">The annual assessment for ALIMCO's selected products is going on since 2018 wherein third-party assessment is being conducted at Kanpur and five Auxiliary Production Centers (APCs) of ALIMCO - Mohali, Ujjain, Jabalpur, Bhubaneswar and Bengaluru. Assessments at all six locations of ALIMCO APC has been completed and reports have also been submitted. </v>
          </cell>
          <cell r="AE9" t="str">
            <v xml:space="preserve">
Prepare proposal for impact assessment of beneficiaries</v>
          </cell>
          <cell r="AF9"/>
          <cell r="AG9"/>
        </row>
        <row r="10">
          <cell r="E10" t="str">
            <v>PP00037</v>
          </cell>
          <cell r="F10" t="str">
            <v>Income Based</v>
          </cell>
          <cell r="G10" t="str">
            <v>Nomination</v>
          </cell>
          <cell r="H10"/>
          <cell r="I10" t="str">
            <v>Fully Closed</v>
          </cell>
          <cell r="J10" t="str">
            <v>GeM</v>
          </cell>
          <cell r="K10" t="str">
            <v xml:space="preserve">Commerce </v>
          </cell>
          <cell r="L10">
            <v>43101</v>
          </cell>
          <cell r="M10">
            <v>45295</v>
          </cell>
          <cell r="N10"/>
          <cell r="O10"/>
          <cell r="P10" t="str">
            <v>The PMU is mandated to perform multiple activities as a knowledge and quality partner to GeM to assure quality in the procurement of goods and services, such as conducting research on global best practices in the relevant domain and assisting in its adaptation by GeM. Additionally, working closely with all the stakeholders in GeM, and is also responsible for all the validations of service providers and vendor assessment exemptions, along with promoting &amp; enhancing quality (by ensuring sanity in the marketplace and compliance checks), building capacities, and developing strategies, including, but not limited to creating a strategic framework for identification and validation of relevant seller/product/service certifications for both goods and services.</v>
          </cell>
          <cell r="Q10" t="str">
            <v>PMU/PMC</v>
          </cell>
          <cell r="R10">
            <v>45658</v>
          </cell>
          <cell r="S10"/>
          <cell r="T10"/>
          <cell r="U10"/>
          <cell r="V10" t="str">
            <v>On Schedule</v>
          </cell>
          <cell r="W10"/>
          <cell r="X10" t="str">
            <v>Within Budget</v>
          </cell>
          <cell r="Y10"/>
          <cell r="Z10" t="str">
            <v>Yes</v>
          </cell>
          <cell r="AA10" t="str">
            <v>GeM PMU last invoice will only be cleared after closure meeting of GeM VA.</v>
          </cell>
          <cell r="AB10" t="str">
            <v>All deliverables met</v>
          </cell>
          <cell r="AC10"/>
          <cell r="AD10" t="str">
            <v xml:space="preserve">After an intensive quality check of service providers, 395003 service providers have been assessed, with 2,71,989 being approved and 1,23,014 being rejected on the basis of invalid compliance certificates and/or project experience details. In addition to that, 65,006 requests have been assessed with 30,450 vendors being exempted while 34,556 were rejected during validation of the vendors registering under the exemption category of vendor assessment (i.e. NSIC, BIS, PSU, Societies/Trust and Recommended by govt. authority) till Dec'23. </v>
          </cell>
          <cell r="AE10"/>
          <cell r="AF10"/>
          <cell r="AG10"/>
        </row>
        <row r="11">
          <cell r="E11" t="str">
            <v>PP00047</v>
          </cell>
          <cell r="F11" t="str">
            <v>Income Based</v>
          </cell>
          <cell r="G11" t="str">
            <v>Nomination</v>
          </cell>
          <cell r="H11"/>
          <cell r="I11" t="str">
            <v>Ongoing</v>
          </cell>
          <cell r="J11" t="str">
            <v>NHA/MoHFW</v>
          </cell>
          <cell r="K11" t="str">
            <v>Health</v>
          </cell>
          <cell r="L11">
            <v>43805</v>
          </cell>
          <cell r="M11">
            <v>44840</v>
          </cell>
          <cell r="N11"/>
          <cell r="O11"/>
          <cell r="P11" t="str">
            <v>Partnered with NHA to enhance patient satisfaction and to improve quality standards across the hospitals of the country by bringing a change in healthcare certifications through a unique digital certification initiative called ABPMJAY Quality Certification. Created a three-tier digital certification model (Gold, Silver and Bronze) for Ayushman Bharat with the aim of strengthening the healthcare ecosystem in India</v>
          </cell>
          <cell r="Q11" t="str">
            <v>Others</v>
          </cell>
          <cell r="R11" t="str">
            <v>October 3, 2025</v>
          </cell>
          <cell r="S11"/>
          <cell r="T11"/>
          <cell r="U11" t="str">
            <v>Dr Rohit - Professional left the organisation</v>
          </cell>
          <cell r="V11" t="str">
            <v>On Schedule</v>
          </cell>
          <cell r="W11"/>
          <cell r="X11" t="str">
            <v>Over Budget</v>
          </cell>
          <cell r="Y11" t="str">
            <v>It is a voluntary certification scheme, and no workshops were scheduled by NHA for its promotion. In addition, to change the signature around 50K were spend on Technology platform this year.</v>
          </cell>
          <cell r="Z11"/>
          <cell r="AA11"/>
          <cell r="AB11"/>
          <cell r="AC11"/>
          <cell r="AD11" t="str">
            <v>We have created a three-tier digital certification model (Gold, Silver and Bronze) for Ayushman Bharat with the aim of strengthening the healthcare ecosystem in India; and certified 366 hospitals (Gold: 157, Silver: 140, Bronze: 69)</v>
          </cell>
          <cell r="AE11"/>
          <cell r="AF11"/>
          <cell r="AG11" t="str">
            <v>Scheme Promotion is delayed. Low fee</v>
          </cell>
        </row>
        <row r="12">
          <cell r="E12" t="str">
            <v>PP00048</v>
          </cell>
          <cell r="F12" t="str">
            <v>Income Based</v>
          </cell>
          <cell r="G12" t="str">
            <v>Nomination</v>
          </cell>
          <cell r="H12" t="str">
            <v>Not fixed</v>
          </cell>
          <cell r="I12" t="str">
            <v>Ongoing</v>
          </cell>
          <cell r="J12" t="str">
            <v>Ministry of Finance</v>
          </cell>
          <cell r="K12" t="str">
            <v>Finance</v>
          </cell>
          <cell r="L12">
            <v>43468</v>
          </cell>
          <cell r="M12">
            <v>46022</v>
          </cell>
          <cell r="N12"/>
          <cell r="O12" t="str">
            <v>Project is on going and recurring due to the nature of transactions/ disinvestments.</v>
          </cell>
          <cell r="P12" t="str">
            <v>Department of Investment and Public Asset Management (DIPAM) deals with all matters relating to management of Central Government investments in equity including disinvestment of equity in Central Public Sector Enterprises(CPSE's). The three major areas of its work relates to Strategic Disinvestment, Minority Stake Sales and Capital Restructuring. All matters relating to sale of Central Government equity through offer for sale or private placement or any other mode as well as strategic disinvestment of CPSE's is dealt with in DIPAM. DIPAM is a Department under the Ministry of Finance.
• Project Monitoring: Professionals will have to monitor various transactions being carried out under the supervision of DIPAM. This will involve tracking progress, debottlenecking, stakeholder follow-ups.
• Due Diligence: Professionals will have to perform analysis on the feasibility of various ideas from strategic-financial perspective as and when required by DIPAM and produce ready reports for senior officials decision-making.</v>
          </cell>
          <cell r="Q12" t="str">
            <v>PMU/PMC</v>
          </cell>
          <cell r="R12" t="str">
            <v>August</v>
          </cell>
          <cell r="S12">
            <v>7</v>
          </cell>
          <cell r="T12">
            <v>7</v>
          </cell>
          <cell r="U12"/>
          <cell r="V12" t="str">
            <v>On Schedule</v>
          </cell>
          <cell r="W12"/>
          <cell r="X12" t="str">
            <v>Within Budget</v>
          </cell>
          <cell r="Y12"/>
          <cell r="Z12" t="str">
            <v>No</v>
          </cell>
          <cell r="AA12" t="str">
            <v xml:space="preserve">Invoices are raised every quarter. </v>
          </cell>
          <cell r="AB12" t="str">
            <v>All deliverables met</v>
          </cell>
          <cell r="AC12"/>
          <cell r="AD12" t="str">
            <v>A) Creation of Market Monitor, which is comprehensive tool for understanding the snapshot of domestic and global capital markets. It contains sections of equity, derivatives, macroeconomic variables.
B) Organised the Capital Market training for officials of DIPAM with National Stock Exchange.
The key transactions the team was involved recently:
1)OFS - Mazagon Dock (April 2025)</v>
          </cell>
          <cell r="AE12" t="str">
            <v xml:space="preserve">Transactions are ongoing in the department, there are no monthly targets </v>
          </cell>
          <cell r="AF12"/>
          <cell r="AG12"/>
        </row>
        <row r="13">
          <cell r="E13" t="str">
            <v>PP00052</v>
          </cell>
          <cell r="F13" t="str">
            <v>Income Based</v>
          </cell>
          <cell r="G13" t="str">
            <v>Nomination</v>
          </cell>
          <cell r="H13"/>
          <cell r="I13" t="str">
            <v>Ongoing</v>
          </cell>
          <cell r="J13" t="str">
            <v>FOOD AND DRUGS AUTHORITY, GOA</v>
          </cell>
          <cell r="K13" t="str">
            <v>Fishery</v>
          </cell>
          <cell r="L13">
            <v>43631</v>
          </cell>
          <cell r="M13" t="str">
            <v>As per requirements of DFDA, Goa</v>
          </cell>
          <cell r="N13"/>
          <cell r="O13"/>
          <cell r="P13" t="str">
            <v>FDA Goa has nominated QCI for Third-Party Testing of Fisheries to check the presence of added Formaldehyde. The samples are collected and tested for the presence of formaldehyde in fish and fishery products being consumed in Goa. QCI is checking each of the vehicles carrying fish entering Goa’s for two of it’s major state borders (Patradevi &amp; Polem) and in Margao wholesale fish market. The objective is to provide unadulterated fish for a healthy life to each individual in state of Goa.</v>
          </cell>
          <cell r="Q13" t="str">
            <v>TPI/TPA/TPE</v>
          </cell>
          <cell r="R13" t="str">
            <v>April'25</v>
          </cell>
          <cell r="S13">
            <v>10</v>
          </cell>
          <cell r="T13" t="str">
            <v>9</v>
          </cell>
          <cell r="U13"/>
          <cell r="V13" t="str">
            <v>On Schedule</v>
          </cell>
          <cell r="W13"/>
          <cell r="X13" t="str">
            <v>Within Budget</v>
          </cell>
          <cell r="Y13"/>
          <cell r="Z13" t="str">
            <v>Yes</v>
          </cell>
          <cell r="AA13" t="str">
            <v>FDA makes a combined payment for our services every 3 months. We are taking rigorous follow ups for the payments.</v>
          </cell>
          <cell r="AB13" t="str">
            <v>All deliverables met</v>
          </cell>
          <cell r="AC13"/>
          <cell r="AD13" t="str">
            <v xml:space="preserve">A total of 365448 fish carrying vehicles screened since inception </v>
          </cell>
          <cell r="AE13" t="str">
            <v>A total of 6785 fish carrying vehicles screened in this month</v>
          </cell>
          <cell r="AF13" t="str">
            <v>Planning to expand the project in Jatties and other fish market.</v>
          </cell>
          <cell r="AG13" t="str">
            <v>Media issues.</v>
          </cell>
        </row>
        <row r="14">
          <cell r="E14" t="str">
            <v>PP00055</v>
          </cell>
          <cell r="F14" t="str">
            <v>Income Based</v>
          </cell>
          <cell r="G14" t="str">
            <v>Nomination</v>
          </cell>
          <cell r="H14"/>
          <cell r="I14" t="str">
            <v>Completed</v>
          </cell>
          <cell r="J14" t="str">
            <v>GeM</v>
          </cell>
          <cell r="K14" t="str">
            <v>Commerce</v>
          </cell>
          <cell r="L14">
            <v>43626</v>
          </cell>
          <cell r="M14">
            <v>45473</v>
          </cell>
          <cell r="N14"/>
          <cell r="O14" t="str">
            <v>Meeting with GeM CEO is pending.</v>
          </cell>
          <cell r="P14" t="str">
            <v>The Vendor Validation process is a mechanism for evaluation of vendors and their performance on various predefined parameters. It aims to recognize and bring out reliable vendors that consistently meet or exceed the expectations and requirements of the buyers. The primary objective of the project is to validate and authenticate vendors registering on the GeM portal, resulting in the elimination of deceitful vendors, compromising the quality of the products &amp; services. Furthermore, considering that all the products and services on the GeM portal are intended for government entities, it helps the buyers procure goods and services from reliable vendors offering high-quality products and services, thereby enhancing procurement efficiency, and reducing the risk of substandard products and services.</v>
          </cell>
          <cell r="Q14" t="str">
            <v>TPI/TPA/TPE</v>
          </cell>
          <cell r="R14">
            <v>45658</v>
          </cell>
          <cell r="S14"/>
          <cell r="T14"/>
          <cell r="U14"/>
          <cell r="V14" t="str">
            <v>Behind Schedule</v>
          </cell>
          <cell r="W14" t="str">
            <v>Closure meeting of SG sir and CEO sir is pending</v>
          </cell>
          <cell r="X14" t="str">
            <v>Within Budget</v>
          </cell>
          <cell r="Y14"/>
          <cell r="Z14" t="str">
            <v>Yes</v>
          </cell>
          <cell r="AA14"/>
          <cell r="AB14" t="str">
            <v>All deliverables met</v>
          </cell>
          <cell r="AC14"/>
          <cell r="AD14" t="str">
            <v>A total of 18,165 OEM assessment applications including domestic and international assessments covering countries like the USA, Canada, Singapore, Malaysia, and Japan, among many others and 1,877 Reseller applications have been completed and project closure is being discussed at the client end.</v>
          </cell>
          <cell r="AE14" t="str">
            <v>-</v>
          </cell>
          <cell r="AF14"/>
          <cell r="AG14"/>
        </row>
        <row r="15">
          <cell r="E15" t="str">
            <v>PP00070</v>
          </cell>
          <cell r="F15" t="str">
            <v>Income Based</v>
          </cell>
          <cell r="G15" t="str">
            <v>Nomination</v>
          </cell>
          <cell r="H15"/>
          <cell r="I15" t="str">
            <v>Fully Closed</v>
          </cell>
          <cell r="J15" t="str">
            <v>LAPL</v>
          </cell>
          <cell r="K15" t="str">
            <v>Coal</v>
          </cell>
          <cell r="L15">
            <v>43854</v>
          </cell>
          <cell r="M15">
            <v>45153</v>
          </cell>
          <cell r="N15"/>
          <cell r="O15"/>
          <cell r="P15" t="str">
            <v>Qualitative analysis of coal at mil bunker of Lanco Anpara Power Limited</v>
          </cell>
          <cell r="Q15" t="str">
            <v>TPI/TPA/TPE</v>
          </cell>
          <cell r="R15" t="str">
            <v>April'25</v>
          </cell>
          <cell r="S15"/>
          <cell r="T15"/>
          <cell r="U15"/>
          <cell r="V15"/>
          <cell r="W15"/>
          <cell r="X15"/>
          <cell r="Y15"/>
          <cell r="Z15"/>
          <cell r="AA15"/>
          <cell r="AB15"/>
          <cell r="AC15"/>
          <cell r="AD15" t="str">
            <v>A total volume of 16.00 Million Metric Tonnes of Coal has been sampled since the inception.</v>
          </cell>
          <cell r="AE15"/>
          <cell r="AF15"/>
          <cell r="AG15"/>
        </row>
        <row r="16">
          <cell r="E16" t="str">
            <v>PP00073</v>
          </cell>
          <cell r="F16" t="str">
            <v>Income Based</v>
          </cell>
          <cell r="G16" t="str">
            <v>Nomination</v>
          </cell>
          <cell r="H16">
            <v>10886400</v>
          </cell>
          <cell r="I16" t="str">
            <v>Ongoing</v>
          </cell>
          <cell r="J16" t="str">
            <v>Ministry of Finance</v>
          </cell>
          <cell r="K16"/>
          <cell r="L16">
            <v>43739</v>
          </cell>
          <cell r="M16">
            <v>45930</v>
          </cell>
          <cell r="N16">
            <v>46721</v>
          </cell>
          <cell r="O16"/>
          <cell r="P16"/>
          <cell r="Q16"/>
          <cell r="R16"/>
          <cell r="S16"/>
          <cell r="T16"/>
          <cell r="U16"/>
          <cell r="V16" t="str">
            <v>On Schedule</v>
          </cell>
          <cell r="W16"/>
          <cell r="X16" t="str">
            <v>Within Budget</v>
          </cell>
          <cell r="Y16"/>
          <cell r="Z16" t="str">
            <v>Yes</v>
          </cell>
          <cell r="AA16"/>
          <cell r="AB16" t="str">
            <v>All deliverables met</v>
          </cell>
          <cell r="AC16"/>
          <cell r="AD16"/>
          <cell r="AE16"/>
          <cell r="AF16"/>
          <cell r="AG16"/>
        </row>
        <row r="17">
          <cell r="E17" t="str">
            <v>PP00076</v>
          </cell>
          <cell r="F17" t="str">
            <v>Income Based</v>
          </cell>
          <cell r="G17" t="str">
            <v>Nomination</v>
          </cell>
          <cell r="H17">
            <v>4008430</v>
          </cell>
          <cell r="I17" t="str">
            <v>Ongoing</v>
          </cell>
          <cell r="J17" t="str">
            <v>MHA</v>
          </cell>
          <cell r="K17"/>
          <cell r="L17"/>
          <cell r="M17">
            <v>45746</v>
          </cell>
          <cell r="N17">
            <v>46111</v>
          </cell>
          <cell r="O17"/>
          <cell r="P17"/>
          <cell r="Q17"/>
          <cell r="R17"/>
          <cell r="S17"/>
          <cell r="T17"/>
          <cell r="U17"/>
          <cell r="V17" t="str">
            <v>On Schedule</v>
          </cell>
          <cell r="W17"/>
          <cell r="X17" t="str">
            <v>Within Budget</v>
          </cell>
          <cell r="Y17"/>
          <cell r="Z17" t="str">
            <v>Yes</v>
          </cell>
          <cell r="AA17"/>
          <cell r="AB17" t="str">
            <v>All deliverables met</v>
          </cell>
          <cell r="AC17"/>
          <cell r="AD17"/>
          <cell r="AE17"/>
          <cell r="AF17"/>
          <cell r="AG17"/>
        </row>
        <row r="18">
          <cell r="E18" t="str">
            <v>PP00087</v>
          </cell>
          <cell r="F18" t="str">
            <v>Income Based</v>
          </cell>
          <cell r="G18" t="str">
            <v>Tender</v>
          </cell>
          <cell r="H18"/>
          <cell r="I18" t="str">
            <v>Ongoing</v>
          </cell>
          <cell r="J18" t="str">
            <v>OCPL</v>
          </cell>
          <cell r="K18" t="str">
            <v>Coal</v>
          </cell>
          <cell r="L18">
            <v>43908</v>
          </cell>
          <cell r="M18">
            <v>45747</v>
          </cell>
          <cell r="N18">
            <v>46112</v>
          </cell>
          <cell r="O18"/>
          <cell r="P18" t="str">
            <v>We have been awarded work by competetive bidiing at Odisha Coal and Power Limited (OCPL) for quality analysis of coal at their mine end</v>
          </cell>
          <cell r="Q18" t="str">
            <v>TPI/TPA/TPE</v>
          </cell>
          <cell r="R18" t="str">
            <v>April'25</v>
          </cell>
          <cell r="S18">
            <v>5</v>
          </cell>
          <cell r="T18" t="str">
            <v>5</v>
          </cell>
          <cell r="U18"/>
          <cell r="V18" t="str">
            <v>On Schedule</v>
          </cell>
          <cell r="W18"/>
          <cell r="X18" t="str">
            <v>Within Budget</v>
          </cell>
          <cell r="Y18"/>
          <cell r="Z18" t="str">
            <v>Yes</v>
          </cell>
          <cell r="AA18" t="str">
            <v>All payments would be clear in the month of December</v>
          </cell>
          <cell r="AB18" t="str">
            <v>All deliverables met</v>
          </cell>
          <cell r="AC18"/>
          <cell r="AD18" t="str">
            <v>A total volume of 38.24 Million Metric Tonnes of Coal had been sampled since the inception</v>
          </cell>
          <cell r="AE18" t="str">
            <v>A total volume of 0.56 Million Metric Tonnes of Coal had been sampled this month</v>
          </cell>
          <cell r="AF18" t="str">
            <v>Project extension for 3 more years</v>
          </cell>
          <cell r="AG18" t="str">
            <v>Political issues, operational challenges.</v>
          </cell>
        </row>
        <row r="19">
          <cell r="E19" t="str">
            <v>PP00088</v>
          </cell>
          <cell r="F19" t="str">
            <v>Income Based</v>
          </cell>
          <cell r="G19" t="str">
            <v>Tender</v>
          </cell>
          <cell r="H19"/>
          <cell r="I19" t="str">
            <v>Ongoing</v>
          </cell>
          <cell r="J19" t="str">
            <v>JSWEBL</v>
          </cell>
          <cell r="K19" t="str">
            <v>Coal</v>
          </cell>
          <cell r="L19">
            <v>43839</v>
          </cell>
          <cell r="M19">
            <v>47361</v>
          </cell>
          <cell r="N19"/>
          <cell r="O19"/>
          <cell r="P19" t="str">
            <v>We have been awarded work by competetive bidiing at JSWEBL Barmer for Quality and Quantity analysis of coal at their plant end</v>
          </cell>
          <cell r="Q19" t="str">
            <v>TPI/TPA/TPE</v>
          </cell>
          <cell r="R19" t="str">
            <v>April'25</v>
          </cell>
          <cell r="S19">
            <v>8</v>
          </cell>
          <cell r="T19" t="str">
            <v>8</v>
          </cell>
          <cell r="U19"/>
          <cell r="V19" t="str">
            <v>On Schedule</v>
          </cell>
          <cell r="W19"/>
          <cell r="X19" t="str">
            <v>Within Budget</v>
          </cell>
          <cell r="Y19"/>
          <cell r="Z19" t="str">
            <v>Yes</v>
          </cell>
          <cell r="AA19" t="str">
            <v xml:space="preserve"> The payments would be cleared within 60 days from the date of invoice generation.</v>
          </cell>
          <cell r="AB19" t="str">
            <v>All deliverables met</v>
          </cell>
          <cell r="AC19"/>
          <cell r="AD19" t="str">
            <v>A total volume of 54.45 Million Metric Tonnes of Coal had been sampled since the inception</v>
          </cell>
          <cell r="AE19" t="str">
            <v>A total volume of 1 Million Metric Tonnes of Coal had been sampled this month.</v>
          </cell>
          <cell r="AF19"/>
          <cell r="AG19"/>
        </row>
        <row r="20">
          <cell r="E20" t="str">
            <v>PP00090</v>
          </cell>
          <cell r="F20" t="str">
            <v>Income Based</v>
          </cell>
          <cell r="G20" t="str">
            <v>Tender</v>
          </cell>
          <cell r="H20">
            <v>103136251.68000001</v>
          </cell>
          <cell r="I20" t="str">
            <v>Ongoing</v>
          </cell>
          <cell r="J20" t="str">
            <v>MoJS</v>
          </cell>
          <cell r="K20" t="str">
            <v>Water</v>
          </cell>
          <cell r="L20">
            <v>44124</v>
          </cell>
          <cell r="M20">
            <v>45928</v>
          </cell>
          <cell r="N20"/>
          <cell r="O20"/>
          <cell r="P20" t="str">
            <v xml:space="preserve">Quality Council of India has been engaged as the Third-Party Verification Agency by the Department of Water Resources, River Development and Ganga Rejuvenation, Ministry of Jal Shakti, Government of India to carry out independent verification of results in accordance with pre-defined indicators of the scheme. 
1. Atal Jal is the first of its kind scheme in the groundwater sector, which incentives the States for achieving 5 pre deﬁned targets linked to interventions for improved groundwater management. QCI has formulated the methodology and verification protocols to assess the performance of seven implementing states on these 5 indicators. 
2. QCI conducts the verification process in accordance with the established protocols, in two ways: (a) the field assessment, where QCI has conducted surveys, community interviews and structure visits (check-dams, wells, ponds, water-saving interventions, etc.); (b) desktop verification of the data collected, QCI has visited SPMU, CGWB and SGWD offices to procure the relevant data.  
3. QCI also conducts workshops in the seven implementing states to make them aware about the fundamentals of the assessment process, sensitize community people regarding water level and quality and encourage women and vulnerable group to actively take part in groundwater management. 
4. In addition to this, various key tasks of the TPGVA are establishing baseline data, data sampling, data monitoring and preparing performance reports with respect to achievement of performance indicator in the described time frame. 
</v>
          </cell>
          <cell r="Q20" t="str">
            <v>TPI/TPA/TPE</v>
          </cell>
          <cell r="R20" t="str">
            <v>September</v>
          </cell>
          <cell r="S20">
            <v>2</v>
          </cell>
          <cell r="T20">
            <v>19</v>
          </cell>
          <cell r="U20">
            <v>17</v>
          </cell>
          <cell r="V20" t="str">
            <v>On Schedule</v>
          </cell>
          <cell r="W20" t="str">
            <v>contract extension awaited</v>
          </cell>
          <cell r="X20" t="str">
            <v>Within Budget</v>
          </cell>
          <cell r="Y20"/>
          <cell r="Z20" t="str">
            <v>Yes</v>
          </cell>
          <cell r="AA20"/>
          <cell r="AB20" t="str">
            <v>All deliverables met</v>
          </cell>
          <cell r="AC20"/>
          <cell r="AD20" t="str">
            <v xml:space="preserve">QCI completed the 9 rounds of TPGVA Verification Cycle, which covered DLI#1, DLI#2, DLI#3, DLI#4, and DLI#5 scheduled from October 2020 to February 2025. During the verification rounds, QCI as a Third-Party Govt. Agency (TPGVA) carried out independent verification of Gram Panchayats in the 7 States. After the completion of the assessments, QCI successfully submitted  TPGVA verification reports in each round to M/o Jal Shakti. 
• These verifications covered DLI#1 to DLI#5, focusing on groundwater monitoring, community participation, demand/supply-side interventions, and data disclosures.
• 20% of submitted Gram Panchayats in each round were independently verified, including desktop assessments and on-ground assessments.
• Desktop Verification Highlights:
 - DLI#1 &amp; DLI#5: Verified state-submitted data on water levels, quality, and observation well monitoring.
- DLI#2: Assessed community involvement in Water Security Plan (WSP) preparation.
- DLI#3 &amp; DLI#4: Validated documents on demand-side (e.g., drip/sprinklers) and supply-side (e.g., tanks, check dams) infrastructure.
2. Field verification Highlights:
1)Interacted with 1,50,000+ citizens, visited 10,000+ GPs, and inspected 15,000+ sites.
2) Public disclosures like wall paintings, fixed displays, and signage boards used to disclose data related to the water quality and water level
3) Community Participation WSP - QCI evaluated community participation in Gram Panchayats during the formation of WSPs through interviews
4) Demand side interventions like drip, sprinkler, and underground pipeline, along with the beneficiary interaction 
5) Supply side structures like ponds, check dams, water tanks, recharge trenches/shafts/pits/wells, etc. 
6) Interviews were conducted with citizens to assess the level of awareness generation, inclusivity, scheme implementation and efficiency.
7) Observation wells, like dug wells, tube wells, and piezometers, were used to evaluate their availability, accessibility, and functionality within the Gram Panchayats. In addition, interviews with community members were conducted to assess awareness and understand changes in groundwater levels.
• QCI submitted detailed TPGVA verification reports after each round to the Ministry of Jal Shakti, supporting transparent implementation, accountability, and result-based disbursement.
</v>
          </cell>
          <cell r="AE20" t="str">
            <v>Finalised the questionnaire and conducted assessor training for the field verification for the 9th verification cycle 
Carried out a state visit to collect data for the ongoing DLI#5 verification cycle. 
Completed the desktop assessment of DLI#3, DLI#4 and DLI#5 and compiled the state results
Conducted field verification for DLI#3, DLI#4, and DLI#5, completing 340+ assessments 
Successfully delivered the interim report with desktop assessment results for DLI#3, DLI#4, and DLI#5, and field verification results for DLI#5 till 27th September.</v>
          </cell>
          <cell r="AF20" t="str">
            <v>Initiate the re-quality checks of the field assessment 
Analyse the field data to finalise the upcoming 10th TPGVA round of the main report.</v>
          </cell>
          <cell r="AG20"/>
        </row>
        <row r="21">
          <cell r="E21" t="str">
            <v>PP00096</v>
          </cell>
          <cell r="F21" t="str">
            <v>Income Based</v>
          </cell>
          <cell r="G21" t="str">
            <v>Nomination</v>
          </cell>
          <cell r="H21" t="str">
            <v xml:space="preserve">2,51,03,512
</v>
          </cell>
          <cell r="I21" t="str">
            <v>Ongoing</v>
          </cell>
          <cell r="J21" t="str">
            <v>MoHUA</v>
          </cell>
          <cell r="K21" t="str">
            <v>Social &amp; Financial Inclsuion</v>
          </cell>
          <cell r="L21">
            <v>44136</v>
          </cell>
          <cell r="M21">
            <v>46112</v>
          </cell>
          <cell r="N21">
            <v>46112</v>
          </cell>
          <cell r="O21" t="str">
            <v xml:space="preserve">Proposal for 1 Year extension (i.e. April'25 - March'26) already submitted to Ministry </v>
          </cell>
          <cell r="P21" t="str">
            <v>The PM-SVANidhi Scheme is extended by the Ministry of Housing and Urban Affairs (MoHUA) to 'SVANidhi Se Samriddhi' for empowering street vendors with holistic development and economic upliftment. The main objective is to conduct the socio-economic profiling of PM SVANidhi beneficiaries and their family members &amp; asses their potential eligibility for various schemes of the central government and facilitate linkage to these schemes.</v>
          </cell>
          <cell r="Q21" t="str">
            <v>PMU/PMC</v>
          </cell>
          <cell r="R21" t="str">
            <v>August</v>
          </cell>
          <cell r="S21">
            <v>11</v>
          </cell>
          <cell r="T21">
            <v>9</v>
          </cell>
          <cell r="U21" t="str">
            <v xml:space="preserve">Revised manpower in new proposal. </v>
          </cell>
          <cell r="V21" t="str">
            <v>On Schedule</v>
          </cell>
          <cell r="W21" t="str">
            <v>N/A</v>
          </cell>
          <cell r="X21" t="str">
            <v>Within Budget</v>
          </cell>
          <cell r="Y21" t="str">
            <v>N/A</v>
          </cell>
          <cell r="Z21" t="str">
            <v>No</v>
          </cell>
          <cell r="AA21" t="str">
            <v xml:space="preserve">Awaiting for WO from Ministry. All invoices under the project till March'25 are generated, cleared &amp; received. </v>
          </cell>
          <cell r="AB21" t="str">
            <v>All deliverables met</v>
          </cell>
          <cell r="AC21" t="str">
            <v>N/A</v>
          </cell>
          <cell r="AD21" t="str">
            <v xml:space="preserve">QCI as an implementation partner of the scheme has developed a web portal, public dashboard and mobile application to capture and reflect the profiling data. Till date, 46,98,462 PM-SVANidhi beneficiaries and 99,86,202 family members have been profiled. 1,41,94,579 scheme linkages have been sanctioned to the profiled beneficiaries &amp; family members. QCI has also integrated ‘Image Recognition Artificial intelligence’ with ‘SVANidhi Se Samriddhi’ portal for capturing and validating street vendor photographs during profiling. The functionality was tested, and pilot was conducted in two ULBs and now the same is live in all 4,500+ ULBs. “SVANidhi Bhi, Swabhiman Bhi” Pakhwada was launched from 18th Nov 24 - 2nd Dec 2024. The programme will be implemented in 4500+ ULBs in the upcoming months. “SVANidhi Se Samriddhi” monthly camps will be organized in 3,612 ULBs from 1st Sept - 6th Sept 2025. </v>
          </cell>
          <cell r="AE21" t="str">
            <v xml:space="preserve">1. SVANidhi Se Samriddhi Sept'25 monthly camps will be organised in 3,612 ULBs. </v>
          </cell>
          <cell r="AF21" t="str">
            <v>1. Lok Kalyan Melas under PM-SVANidhi mission are running PAN India from 17th Sept - 2nd Oct 2025</v>
          </cell>
          <cell r="AG21" t="str">
            <v>Awaiting for work order
Multiple revised proposals submitted to Ministry</v>
          </cell>
        </row>
        <row r="22">
          <cell r="E22" t="str">
            <v>PP00102</v>
          </cell>
          <cell r="F22" t="str">
            <v>Income Based</v>
          </cell>
          <cell r="G22" t="str">
            <v>Nomination</v>
          </cell>
          <cell r="H22"/>
          <cell r="I22" t="str">
            <v>Fully Closed</v>
          </cell>
          <cell r="J22" t="str">
            <v>FCI</v>
          </cell>
          <cell r="K22" t="str">
            <v>Food Security, Warehouses</v>
          </cell>
          <cell r="L22">
            <v>44317</v>
          </cell>
          <cell r="M22">
            <v>44592</v>
          </cell>
          <cell r="N22"/>
          <cell r="O22"/>
          <cell r="P22" t="str">
            <v>The objective was to assess 2147 FCI warehouses to evaluate safety standards, infrastructure, fire safety, theft prevention, grain treatments, and storage conditions. It also aimed to identify gaps between current and desired practices and recommend improvements, including technological interventions and best practices.</v>
          </cell>
          <cell r="Q22" t="str">
            <v>TPI/TPA/TPE</v>
          </cell>
          <cell r="R22" t="str">
            <v>August 4, 2025</v>
          </cell>
          <cell r="S22"/>
          <cell r="T22"/>
          <cell r="U22"/>
          <cell r="V22" t="str">
            <v>On Schedule</v>
          </cell>
          <cell r="W22"/>
          <cell r="X22" t="str">
            <v>Within Budget</v>
          </cell>
          <cell r="Y22"/>
          <cell r="Z22" t="str">
            <v>Yes</v>
          </cell>
          <cell r="AA22"/>
          <cell r="AB22" t="str">
            <v>All deliverables met</v>
          </cell>
          <cell r="AC22"/>
          <cell r="AD22" t="str">
            <v>The outcome highlighted gaps between current and desired practices, provided ratings based on collected evidence, and offered recommendations to enhance warehouse practices where out of the 2147 assessed warehouses. Out of 2147 assessed warehouses, 149 warehouses scored 5-star, 969 scored 4-star, 836 scored 3-stars, 184 scored 2-stars &amp; 9 warehouses scored 1-star.</v>
          </cell>
          <cell r="AE22"/>
          <cell r="AF22"/>
          <cell r="AG22"/>
        </row>
        <row r="23">
          <cell r="E23" t="str">
            <v>PP00114</v>
          </cell>
          <cell r="F23" t="str">
            <v>Income Based</v>
          </cell>
          <cell r="G23" t="str">
            <v>Nomination</v>
          </cell>
          <cell r="H23">
            <v>9923200</v>
          </cell>
          <cell r="I23" t="str">
            <v>Completed</v>
          </cell>
          <cell r="J23" t="str">
            <v>ONGC</v>
          </cell>
          <cell r="K23" t="str">
            <v>Healthcare &amp; Medical Devices Sector.</v>
          </cell>
          <cell r="L23">
            <v>44401</v>
          </cell>
          <cell r="M23">
            <v>44691</v>
          </cell>
          <cell r="N23"/>
          <cell r="O23"/>
          <cell r="P23" t="str">
            <v>The Government of India, through ONGC, is procuring 1 lakh Oxygen Concentrators (OCs) under the PM Cares Fund, with 70,000 units being manufactured domestically. To ensure the quality and reliability of these medical devices, QCI has been assigned the responsibility of conducting inspections and sample testing.
Key Aspects of the Project:
Manufacturers' Compliance: OCs must meet ISO 13485:2016 / ICMED 13485 standards and be tested in NABL-accredited labs.
Inspection Process:
On-Site Inspections at manufacturing units by NABCB-accredited bodies.
Sampling &amp; Testing based on ISO/IS standards.
Acceptance Quality Level (AQL): Strict criteria for defects.
External Testing (if required): In case of quality deviations.
Rejection &amp; Reconsideration: If a batch fails, it can be rectified and re-inspected. After two failures, it will be rejected.</v>
          </cell>
          <cell r="Q23" t="str">
            <v>TPI/TPA/TPE</v>
          </cell>
          <cell r="R23">
            <v>45536</v>
          </cell>
          <cell r="S23">
            <v>0</v>
          </cell>
          <cell r="T23"/>
          <cell r="U23"/>
          <cell r="V23" t="str">
            <v>On Schedule</v>
          </cell>
          <cell r="W23"/>
          <cell r="X23" t="str">
            <v>Within Budget</v>
          </cell>
          <cell r="Y23"/>
          <cell r="Z23" t="str">
            <v>Yes</v>
          </cell>
          <cell r="AA23"/>
          <cell r="AB23" t="str">
            <v>All deliverables met</v>
          </cell>
          <cell r="AC23"/>
          <cell r="AD23" t="str">
            <v xml:space="preserve">1.	Standardized Quality Compliance:
1.1.	Ensured that all OCs met stringent quality benchmarks, including ISO 13485 or ICMED 13485 certification, verified through NABCB-accredited certification bodies.
1.2.	Manufacturers adhered to structured testing and validation protocols to maintain product reliability.
2.	Robust Testing Mechanism:
2.1.	Every model underwent type testing and evaluation at NABL-accredited external testing laboratories.
2.2.	100% routine testing was conducted at manufacturer facilities with calibrated in-house testing benches.
2.3.	The sampling methodology followed IS 2500, ensuring statistically valid inspection by attributes.
3.	Enhanced Transparency and Traceability:
3.1.	A structured on-site third-party inspection was conducted, focusing on documentation review, sample identification, and physical verification.
3.2.	This approach minimized discrepancies and ensured accountability throughout the supply chain.
4.	Nationwide Manufacturer Oversight:
4.1.	Inspections were carried out across eight key manufacturing hubs (Bangalore, Coimbatore, Hyderabad, Visakhapatnam, Solan, Aligarh, Manesar, and Pune).
4.2.	This ensured uniform compliance across diverse production facilities, fostering quality consistency.
5.	Efficient Procurement Process:
5.1.	By integrating systematic quality assurance steps, QCI helped streamline ONGC’s procurement process.
5.2.	The structured verification approach reduced risks of defective products, ensuring timely delivery of reliable OCs.
</v>
          </cell>
          <cell r="AE23"/>
          <cell r="AF23"/>
          <cell r="AG23"/>
        </row>
        <row r="24">
          <cell r="E24" t="str">
            <v>PP00115</v>
          </cell>
          <cell r="F24" t="str">
            <v>Income Based</v>
          </cell>
          <cell r="G24" t="str">
            <v>Nomination</v>
          </cell>
          <cell r="H24"/>
          <cell r="I24" t="str">
            <v>Fully Closed</v>
          </cell>
          <cell r="J24" t="str">
            <v>CBC</v>
          </cell>
          <cell r="K24"/>
          <cell r="L24"/>
          <cell r="M24"/>
          <cell r="N24"/>
          <cell r="O24"/>
          <cell r="P24"/>
          <cell r="Q24"/>
          <cell r="R24"/>
          <cell r="S24"/>
          <cell r="T24"/>
          <cell r="U24"/>
          <cell r="V24" t="str">
            <v>On Schedule</v>
          </cell>
          <cell r="W24"/>
          <cell r="X24" t="str">
            <v>Within Budget</v>
          </cell>
          <cell r="Y24"/>
          <cell r="Z24"/>
          <cell r="AA24"/>
          <cell r="AB24"/>
          <cell r="AC24"/>
          <cell r="AD24"/>
          <cell r="AE24"/>
          <cell r="AF24"/>
          <cell r="AG24"/>
        </row>
        <row r="25">
          <cell r="E25" t="str">
            <v>PP00119</v>
          </cell>
          <cell r="F25" t="str">
            <v>Income Based</v>
          </cell>
          <cell r="G25" t="str">
            <v>Nomination</v>
          </cell>
          <cell r="H25"/>
          <cell r="I25" t="str">
            <v>Ongoing</v>
          </cell>
          <cell r="J25" t="str">
            <v>NLC India Limited</v>
          </cell>
          <cell r="K25" t="str">
            <v>Coal</v>
          </cell>
          <cell r="L25">
            <v>45492</v>
          </cell>
          <cell r="M25">
            <v>46532</v>
          </cell>
          <cell r="N25"/>
          <cell r="O25"/>
          <cell r="P25" t="str">
            <v>NLC has nominated Quality Council of India (QCI) for quality analysis of coal at their mine end</v>
          </cell>
          <cell r="Q25" t="str">
            <v>TPI/TPA/TPE</v>
          </cell>
          <cell r="R25" t="str">
            <v>April'25</v>
          </cell>
          <cell r="S25">
            <v>4</v>
          </cell>
          <cell r="T25">
            <v>4</v>
          </cell>
          <cell r="U25"/>
          <cell r="V25" t="str">
            <v>On Schedule</v>
          </cell>
          <cell r="W25"/>
          <cell r="X25" t="str">
            <v>Within Budget</v>
          </cell>
          <cell r="Y25"/>
          <cell r="Z25" t="str">
            <v>Yes</v>
          </cell>
          <cell r="AA25" t="str">
            <v>Invoice raised till Oct'25</v>
          </cell>
          <cell r="AB25" t="str">
            <v>All deliverables met</v>
          </cell>
          <cell r="AC25"/>
          <cell r="AD25" t="str">
            <v>A total of 5.75 Million Metric Tonnes of coal has been sampled since the inception</v>
          </cell>
          <cell r="AE25" t="str">
            <v>A total of 0.31 Million Metric Tonnes of coal has been sampled this month</v>
          </cell>
          <cell r="AF25" t="str">
            <v>Maintaining  the current rate of SLA Break</v>
          </cell>
          <cell r="AG25"/>
        </row>
        <row r="26">
          <cell r="E26" t="str">
            <v>PP00120</v>
          </cell>
          <cell r="F26" t="str">
            <v>Income Based</v>
          </cell>
          <cell r="G26" t="str">
            <v>Tender</v>
          </cell>
          <cell r="H26">
            <v>39503868</v>
          </cell>
          <cell r="I26" t="str">
            <v>Ongoing</v>
          </cell>
          <cell r="J26" t="str">
            <v>Department of Jal Shakti, HP</v>
          </cell>
          <cell r="K26" t="str">
            <v>Infrastructure, Water Supply</v>
          </cell>
          <cell r="L26">
            <v>44531</v>
          </cell>
          <cell r="M26">
            <v>45473</v>
          </cell>
          <cell r="N26">
            <v>45869</v>
          </cell>
          <cell r="O26" t="str">
            <v>Final invoice submission in coming month to the client</v>
          </cell>
          <cell r="P26" t="str">
            <v xml:space="preserve">Quality Council of India was envisioned for GoI's flagship in Jal Jeevan Mission in the State of Himachal Pradesh as a sector partner to provide Third Party Inspection of schemes. QCI was given the responsibility of checking the quality of work executed by the agencies in Himachal Pradesh, quality of material used for construction and quality of machinery installed in each of schemes
In addition, carrying out inspection of all engineering works relating to civil, mechanical and electrical components executed under the schemes of JJM and providing reports containing the regular updates and progress of the overall schemes on a month end basis is provided to the Mission Director, JJM, Shimla
</v>
          </cell>
          <cell r="Q26" t="str">
            <v>TPI/TPA/TPE</v>
          </cell>
          <cell r="R26">
            <v>45809</v>
          </cell>
          <cell r="S26">
            <v>0</v>
          </cell>
          <cell r="T26">
            <v>0</v>
          </cell>
          <cell r="U26" t="str">
            <v>Project Completed, raised invoices are pending for payment from client's end</v>
          </cell>
          <cell r="V26" t="str">
            <v>Behind Schedule</v>
          </cell>
          <cell r="W26" t="str">
            <v>Payment from client's end is not according to time schedule</v>
          </cell>
          <cell r="X26" t="str">
            <v>Within Budget</v>
          </cell>
          <cell r="Y26"/>
          <cell r="Z26" t="str">
            <v>No</v>
          </cell>
          <cell r="AA26" t="str">
            <v>Invoices were not cleared on time due to Lok Sabha election.</v>
          </cell>
          <cell r="AB26" t="str">
            <v>All deliverables met</v>
          </cell>
          <cell r="AC26"/>
          <cell r="AD26" t="str">
            <v>Currently, QCI is entrusted with Third Party Inspection responsibility of three circles namely, Una, Bilaspur and Nurpur. 97% of allotted schemes of JJM Himachal Pradesh have been partially inspected by QCI. A total of 122 schemes have been partially/completely inspected till date. Out of a total Award Value of Rs. 359 Crores, Inspection of Works worth a value of Rs. 287 Crores has been completed.</v>
          </cell>
          <cell r="AE26" t="str">
            <v>Final invoice submission in coming months to the client</v>
          </cell>
          <cell r="AF26"/>
          <cell r="AG26" t="str">
            <v>Difficult terrain and reaching the site for inspection was a challenge most of the times. Also billing from the client side was delayed a couple of times.</v>
          </cell>
        </row>
        <row r="27">
          <cell r="E27" t="str">
            <v>PP00125</v>
          </cell>
          <cell r="F27" t="str">
            <v>Income Based</v>
          </cell>
          <cell r="G27" t="str">
            <v>Nomination</v>
          </cell>
          <cell r="H27"/>
          <cell r="I27" t="str">
            <v>Fully Closed</v>
          </cell>
          <cell r="J27" t="str">
            <v>Parichha Thermal Power Project</v>
          </cell>
          <cell r="K27" t="str">
            <v>Coal</v>
          </cell>
          <cell r="L27">
            <v>44836</v>
          </cell>
          <cell r="M27">
            <v>45322</v>
          </cell>
          <cell r="N27"/>
          <cell r="O27"/>
          <cell r="P27" t="str">
            <v xml:space="preserve">Parichha Thermal Power Project has awarded work to Quality Council of India for carrying out sampling and analysis of indigenous coal at their unloading end. </v>
          </cell>
          <cell r="Q27" t="str">
            <v>TPI/TPA/TPE</v>
          </cell>
          <cell r="R27" t="str">
            <v>April'25</v>
          </cell>
          <cell r="S27"/>
          <cell r="T27"/>
          <cell r="U27"/>
          <cell r="V27" t="str">
            <v>On Schedule</v>
          </cell>
          <cell r="W27"/>
          <cell r="X27" t="str">
            <v>Within Budget</v>
          </cell>
          <cell r="Y27"/>
          <cell r="Z27" t="str">
            <v>Yes</v>
          </cell>
          <cell r="AA27" t="str">
            <v>All payments received as per the invoices raised</v>
          </cell>
          <cell r="AB27" t="str">
            <v>All deliverables met</v>
          </cell>
          <cell r="AC27"/>
          <cell r="AD27" t="str">
            <v>A total volume of 4.73 Million Metric Tonnes of Coal has been sampled since the inception.</v>
          </cell>
          <cell r="AE27"/>
          <cell r="AF27"/>
          <cell r="AG27"/>
        </row>
        <row r="28">
          <cell r="E28" t="str">
            <v>PP00127</v>
          </cell>
          <cell r="F28" t="str">
            <v>Income Based</v>
          </cell>
          <cell r="G28" t="str">
            <v>Nomination</v>
          </cell>
          <cell r="H28"/>
          <cell r="I28" t="str">
            <v>Fully Closed</v>
          </cell>
          <cell r="J28" t="str">
            <v>DC Office, Jammu</v>
          </cell>
          <cell r="K28" t="str">
            <v>Water Conservation</v>
          </cell>
          <cell r="L28">
            <v>44745</v>
          </cell>
          <cell r="M28">
            <v>44601</v>
          </cell>
          <cell r="N28" t="str">
            <v>NA</v>
          </cell>
          <cell r="O28"/>
          <cell r="P28" t="str">
            <v xml:space="preserve">The purpose of the study is to do a mapping of water bodies in Jammu district for the below mentioned points:
# Geo-mapping of water bodies.
# Coding of Water bodies.
# Tentative area of Water bodies.
# Current status of Water bodies.
# Type of intervention required.
# Perimeter of Water bodies.
# Detailing of Topographic/ Description of area.
# Customized Dashboard for water bodies.
</v>
          </cell>
          <cell r="Q28" t="str">
            <v>TPI/TPA/TPE</v>
          </cell>
          <cell r="R28">
            <v>45565</v>
          </cell>
          <cell r="S28"/>
          <cell r="T28"/>
          <cell r="U28" t="str">
            <v>NA</v>
          </cell>
          <cell r="V28" t="str">
            <v>On Schedule</v>
          </cell>
          <cell r="W28"/>
          <cell r="X28" t="str">
            <v>Within Budget</v>
          </cell>
          <cell r="Y28"/>
          <cell r="Z28" t="str">
            <v>Yes</v>
          </cell>
          <cell r="AA28"/>
          <cell r="AB28" t="str">
            <v>All deliverables met</v>
          </cell>
          <cell r="AC28"/>
          <cell r="AD28" t="str">
            <v xml:space="preserve">Under the "Survey of Water Bodies" project, QCI assessed approximately 474 water bodies across 20 blocks of Jammu district (J&amp;K). The survey involved geo-mapping each water body, assigning a unique identification code, and capturing detailed topographical information to support effective planning and monitoring.
The collected data is being visualized through a dedicated dashboard to ensure broader accessibility and informed decision-making by stakeholders.
Based on its findings, QCI has recommended the inclusion of a comprehensive rejuvenation plan for each water body, covering all critical parameters necessary for their sustainable restoration and long-term conservation. </v>
          </cell>
          <cell r="AE28"/>
          <cell r="AF28"/>
          <cell r="AG28"/>
        </row>
        <row r="29">
          <cell r="E29" t="str">
            <v>PP00128</v>
          </cell>
          <cell r="F29" t="str">
            <v>Income Based</v>
          </cell>
          <cell r="G29" t="str">
            <v>Nomination</v>
          </cell>
          <cell r="H29"/>
          <cell r="I29" t="str">
            <v>Fully Closed</v>
          </cell>
          <cell r="J29" t="str">
            <v>DC Office, Jammu</v>
          </cell>
          <cell r="K29" t="str">
            <v>Capacity Building for ISO (9001:2015)</v>
          </cell>
          <cell r="L29">
            <v>44715</v>
          </cell>
          <cell r="M29">
            <v>44796</v>
          </cell>
          <cell r="N29" t="str">
            <v>NA</v>
          </cell>
          <cell r="O29"/>
          <cell r="P29" t="str">
            <v>The objective is to provide the capacity building support to DC Office Jammu to prepare them conversant and ready for ISO 9000:2015 implementation /certification.</v>
          </cell>
          <cell r="Q29" t="str">
            <v>Capacity building</v>
          </cell>
          <cell r="R29">
            <v>45565</v>
          </cell>
          <cell r="S29"/>
          <cell r="T29"/>
          <cell r="U29" t="str">
            <v>NA</v>
          </cell>
          <cell r="V29" t="str">
            <v>Project Cancelled</v>
          </cell>
          <cell r="W29"/>
          <cell r="X29" t="str">
            <v>Project Cancelled</v>
          </cell>
          <cell r="Y29"/>
          <cell r="Z29" t="str">
            <v>Project Cancelled</v>
          </cell>
          <cell r="AA29"/>
          <cell r="AB29" t="str">
            <v>Project Cancelled</v>
          </cell>
          <cell r="AC29"/>
          <cell r="AD29" t="str">
            <v>Due to lack of funds by the department, Project was closed by client.</v>
          </cell>
          <cell r="AE29"/>
          <cell r="AF29"/>
          <cell r="AG29"/>
        </row>
        <row r="30">
          <cell r="E30" t="str">
            <v>PP00129</v>
          </cell>
          <cell r="F30" t="str">
            <v>Income Based</v>
          </cell>
          <cell r="G30" t="str">
            <v>Nomination</v>
          </cell>
          <cell r="H30"/>
          <cell r="I30" t="str">
            <v>Fully Closed</v>
          </cell>
          <cell r="J30" t="str">
            <v>FCI</v>
          </cell>
          <cell r="K30" t="str">
            <v>Food Security</v>
          </cell>
          <cell r="L30">
            <v>44540</v>
          </cell>
          <cell r="M30">
            <v>45203</v>
          </cell>
          <cell r="N30"/>
          <cell r="O30"/>
          <cell r="P30" t="str">
            <v xml:space="preserve">Conducted baseline assessment at 434 Grain Procurement Centers (Mandis) across 23 States and UTs on areas of Infrastructure and services, farmer satisfaction, and quality of the purchased grains across Kharif Marketing Season 2021-22 and Rabi Marketing Season 2022-23. </v>
          </cell>
          <cell r="Q30" t="str">
            <v>TPI/TPA/TPE</v>
          </cell>
          <cell r="R30">
            <v>45505</v>
          </cell>
          <cell r="S30"/>
          <cell r="T30"/>
          <cell r="U30"/>
          <cell r="V30"/>
          <cell r="W30"/>
          <cell r="X30"/>
          <cell r="Y30"/>
          <cell r="Z30"/>
          <cell r="AA30"/>
          <cell r="AB30"/>
          <cell r="AC30"/>
          <cell r="AD30" t="str">
            <v>Assessed 2229 FCI warehouses on parameters of infrastructure, operation and safety standards across 33 States &amp; UTs. 492 FCI warehouses re-assessed to track the status of improvement and upgradation of facilities.</v>
          </cell>
          <cell r="AE30"/>
          <cell r="AF30"/>
          <cell r="AG30"/>
        </row>
        <row r="31">
          <cell r="E31" t="str">
            <v>PP00132</v>
          </cell>
          <cell r="F31" t="str">
            <v>Income Based</v>
          </cell>
          <cell r="G31" t="str">
            <v>Tender</v>
          </cell>
          <cell r="H31"/>
          <cell r="I31" t="str">
            <v>Fully Closed</v>
          </cell>
          <cell r="J31" t="str">
            <v>MoHUA</v>
          </cell>
          <cell r="K31" t="str">
            <v xml:space="preserve">Urban Governance </v>
          </cell>
          <cell r="L31">
            <v>44684</v>
          </cell>
          <cell r="M31">
            <v>45372</v>
          </cell>
          <cell r="N31"/>
          <cell r="O31"/>
          <cell r="P31" t="str">
            <v>Asssited MoHUA in collecting and validating over 400 plus data points from 266 cities across India for the formulation of indcies - Ease of Living Index (EoLI) and Municipal Performance Index (MPI). Also conducted Citizen Perception Survey (CPS) to capture views of citizen about their cities.</v>
          </cell>
          <cell r="Q31" t="str">
            <v>TPI/TPA/TPE</v>
          </cell>
          <cell r="R31">
            <v>45627</v>
          </cell>
          <cell r="S31"/>
          <cell r="T31"/>
          <cell r="U31"/>
          <cell r="V31"/>
          <cell r="W31"/>
          <cell r="X31"/>
          <cell r="Y31"/>
          <cell r="Z31"/>
          <cell r="AA31"/>
          <cell r="AB31"/>
          <cell r="AC31"/>
          <cell r="AD31" t="str">
            <v xml:space="preserve">The data collected by QCI was made public in NIUA's forum making it one of its kind repository for public (including academacians, researchers etc.). Also, gaps of each city were evaluated on which Ministry has further drafted its plan of action in different spheres. </v>
          </cell>
          <cell r="AE31"/>
          <cell r="AF31"/>
          <cell r="AG31"/>
        </row>
        <row r="32">
          <cell r="E32" t="str">
            <v>PP00133</v>
          </cell>
          <cell r="F32" t="str">
            <v>Income Based</v>
          </cell>
          <cell r="G32" t="str">
            <v>Nomination</v>
          </cell>
          <cell r="H32">
            <v>9811334.8200000003</v>
          </cell>
          <cell r="I32" t="str">
            <v>Completed</v>
          </cell>
          <cell r="J32" t="str">
            <v>PHED, Govt. of Haryana</v>
          </cell>
          <cell r="K32" t="str">
            <v>Water</v>
          </cell>
          <cell r="L32">
            <v>44680</v>
          </cell>
          <cell r="M32">
            <v>45657</v>
          </cell>
          <cell r="N32" t="str">
            <v>-</v>
          </cell>
          <cell r="O32" t="str">
            <v>Extension is awaited, currently on hold</v>
          </cell>
          <cell r="P32" t="str">
            <v>QCI has been entrusted to conduct inspection of all engineering works (Civil, Electrical &amp; Mechanical), safety and labour payments related specifics as per the JJM guidelines. The aim is to provide recommendations post the Third-Party Inspection (TPI) in an efficient manner so that best quality is ensured for the water supply schemes, and access to safe and clean water is achieved</v>
          </cell>
          <cell r="Q32" t="str">
            <v>TPI/TPA/TPE</v>
          </cell>
          <cell r="R32">
            <v>45901</v>
          </cell>
          <cell r="S32">
            <v>0</v>
          </cell>
          <cell r="T32">
            <v>0</v>
          </cell>
          <cell r="U32"/>
          <cell r="V32" t="str">
            <v>On Schedule</v>
          </cell>
          <cell r="W32"/>
          <cell r="X32" t="str">
            <v>Within Budget</v>
          </cell>
          <cell r="Y32"/>
          <cell r="Z32" t="str">
            <v>Yes</v>
          </cell>
          <cell r="AA32"/>
          <cell r="AB32" t="str">
            <v>All deliverables met</v>
          </cell>
          <cell r="AC32"/>
          <cell r="AD32" t="str">
            <v xml:space="preserve">Currently, QCI is conducting the assessment of 382 allotted schemes from 20 Districts of Haryana which are Sonipat, Jind, Sirsa, Rewari, Dabwali, Fatehabad, Ambala, Panipat, Bhiwani, Charkidadri, Hisar, Jhajjar, Kaithal, Karnal, Kurukshetra, Nuh, Palwal, Panchkula, Rohtak and Siwani. So far, QCI has completed the inspection of over 332 schemes. 231 Schemes were found completed at physical progress of 100% as inspected by QCI. </v>
          </cell>
          <cell r="AE32" t="str">
            <v>Follow up with cleint regarding the pending payment &amp; extension of the project. And informed the department for the remaining site inspections to be conducted</v>
          </cell>
          <cell r="AF32" t="str">
            <v>Conduct site inspections on the remaining villages</v>
          </cell>
          <cell r="AG32" t="str">
            <v>Delay in payment of works completed by the department after repeated reminders, meetings and letter from senior management.</v>
          </cell>
        </row>
        <row r="33">
          <cell r="E33" t="str">
            <v>PP00134</v>
          </cell>
          <cell r="F33" t="str">
            <v>Income Based</v>
          </cell>
          <cell r="G33" t="str">
            <v>Nomination</v>
          </cell>
          <cell r="H33">
            <v>8949640</v>
          </cell>
          <cell r="I33" t="str">
            <v>Fully Closed</v>
          </cell>
          <cell r="J33" t="str">
            <v>Ministry of Culture</v>
          </cell>
          <cell r="K33" t="str">
            <v>Arts, Culture &amp; Heritage</v>
          </cell>
          <cell r="L33">
            <v>44706</v>
          </cell>
          <cell r="M33">
            <v>45238</v>
          </cell>
          <cell r="N33"/>
          <cell r="O33"/>
          <cell r="P33" t="str">
            <v xml:space="preserve">The Ministry of Culture has over 43 organizations and 24 central sector schemes, which are of vital importance to practice and promote India’s arts and culture sector. In 2022, the Ministry of Culture realized the need for a thorough review to reimagine its role in promoting India’s cultural heritage across India and abroad. The Ministry engaged QCI for a diagnostic study of its organizations and schemes. In this regard, QCI reviewed 43 institutions and all the central sector schemes under the ministry. </v>
          </cell>
          <cell r="Q33" t="str">
            <v>No</v>
          </cell>
          <cell r="R33">
            <v>45715</v>
          </cell>
          <cell r="S33"/>
          <cell r="T33"/>
          <cell r="U33"/>
          <cell r="V33" t="str">
            <v>On Schedule</v>
          </cell>
          <cell r="W33" t="str">
            <v>The project extension  was in discussion, later converted to Phase 2</v>
          </cell>
          <cell r="X33" t="str">
            <v>Over Budget</v>
          </cell>
          <cell r="Y33" t="str">
            <v>Cost of manpower continued to be added to the project head months after completion</v>
          </cell>
          <cell r="Z33" t="str">
            <v>Yes</v>
          </cell>
          <cell r="AA33" t="str">
            <v>NA</v>
          </cell>
          <cell r="AB33" t="str">
            <v>All deliverables met</v>
          </cell>
          <cell r="AC33" t="str">
            <v>NA</v>
          </cell>
          <cell r="AD33" t="str">
            <v>Outcome: 
• Understanding the sector involved secondary research and literature review of independent studies conducted on sector, institutions &amp; schemes
• Review of previous committee reports, and thorough categorisation of persisting issues highlighted across reviews, response of government and subsequent actions.
• International Case studies to understand global success stories involving various types of approaches to funding, unique initiatives, branding techniques across different sub-sectors, government efforts
• Review of 43 Organizations to dive deep into governance, administrative processes, human resources, and performance in delivery of objectives.
• Review of Central Sector Schemes
• Organizing a Chintan Shivir for the Ministry
Impact: 
• A 2-day Chintan Shivir was organized on 6th - 7th April 2023 at Pt. Deen Dayal Upadhyaya Institute of Archaeology in Greater Noida to connect with all institutes &amp; agencies of MoC, underline priorities, and re-imagine their role in protection, preservation &amp; promotion of India’s Arts, Culture &amp; Heritage. The two-day deliberation session witnessed participation from approximately 150 people encompassing State Ministers, Ministry officials, senior representatives from 43 organisations, intergovernmental organisations, and public and private sector experts.
• Reviewed and proposed suggestions to enhance Central Sector Schemes affecting 15,000+ beneficiaries</v>
          </cell>
          <cell r="AE33"/>
          <cell r="AF33"/>
          <cell r="AG33"/>
        </row>
        <row r="34">
          <cell r="E34" t="str">
            <v>PP00141</v>
          </cell>
          <cell r="F34" t="str">
            <v>Income Based</v>
          </cell>
          <cell r="G34" t="str">
            <v>Nomination</v>
          </cell>
          <cell r="H34"/>
          <cell r="I34" t="str">
            <v>Ongoing</v>
          </cell>
          <cell r="J34" t="str">
            <v>NTPL</v>
          </cell>
          <cell r="K34" t="str">
            <v>Coal</v>
          </cell>
          <cell r="L34">
            <v>44749</v>
          </cell>
          <cell r="M34">
            <v>45838</v>
          </cell>
          <cell r="N34"/>
          <cell r="O34"/>
          <cell r="P34" t="str">
            <v>NTPL has awarded work for carrying out quantity and quality analysis of indigenous and import coal at their NCB-VOC port, Tuticorin</v>
          </cell>
          <cell r="Q34" t="str">
            <v>TPI/TPA/TPE</v>
          </cell>
          <cell r="R34" t="str">
            <v>April'25</v>
          </cell>
          <cell r="S34">
            <v>3</v>
          </cell>
          <cell r="T34" t="str">
            <v>3</v>
          </cell>
          <cell r="U34"/>
          <cell r="V34" t="str">
            <v>On Schedule</v>
          </cell>
          <cell r="W34"/>
          <cell r="X34" t="str">
            <v>Within Budget</v>
          </cell>
          <cell r="Y34"/>
          <cell r="Z34" t="str">
            <v>Yes</v>
          </cell>
          <cell r="AA34" t="str">
            <v>All payments received as per the invoices raised</v>
          </cell>
          <cell r="AB34" t="str">
            <v>All deliverables met</v>
          </cell>
          <cell r="AC34"/>
          <cell r="AD34" t="str">
            <v>A total volume of 11.07 MMT has been sampled since the inception.</v>
          </cell>
          <cell r="AE34" t="str">
            <v>A total volume of 0.28 MMT has been sampled this month</v>
          </cell>
          <cell r="AF34"/>
          <cell r="AG34"/>
        </row>
        <row r="35">
          <cell r="E35" t="str">
            <v>PP00143</v>
          </cell>
          <cell r="F35" t="str">
            <v>Income Based</v>
          </cell>
          <cell r="G35" t="str">
            <v>Nomination</v>
          </cell>
          <cell r="H35" t="str">
            <v>Rs 40,32,000 (Exlcluding Taxes) from 1st April, 2025, to 30th September, 2025.</v>
          </cell>
          <cell r="I35" t="str">
            <v>Ongoing</v>
          </cell>
          <cell r="J35" t="str">
            <v>Department of Administrative Reforms and Public Grievances</v>
          </cell>
          <cell r="K35" t="str">
            <v>Governance</v>
          </cell>
          <cell r="L35" t="str">
            <v>14-07-2022</v>
          </cell>
          <cell r="M35" t="str">
            <v>30-09-2025</v>
          </cell>
          <cell r="N35" t="str">
            <v>-</v>
          </cell>
          <cell r="O35" t="str">
            <v>The current work order is till 30th September, 2025. Extension proposal for six months from 1st October, 2025 to 31st March, 2026, was submitted to the department on 22nd September, 2025. The process is currently under process.</v>
          </cell>
          <cell r="P35" t="str">
            <v>Analysis and monitoring of grievances received on the CPGRAMS portal along with monitoring of resolution by Ministries/Departments, in order to report the status of CPGRAMS. The team prepares monthly reports on CPGRAMS which is shared with all the Ministries/Departments and State Governments by DARPG. Also, revamping exercise of categorsation of select Ministries/Departments is being done for the CPGRAMS Portal.</v>
          </cell>
          <cell r="Q35" t="str">
            <v>PMU/PMC</v>
          </cell>
          <cell r="R35">
            <v>45925</v>
          </cell>
          <cell r="S35">
            <v>4</v>
          </cell>
          <cell r="T35">
            <v>4</v>
          </cell>
          <cell r="U35" t="str">
            <v>-</v>
          </cell>
          <cell r="V35" t="str">
            <v>On Schedule</v>
          </cell>
          <cell r="W35" t="str">
            <v>-</v>
          </cell>
          <cell r="X35" t="str">
            <v>Within Budget</v>
          </cell>
          <cell r="Y35" t="str">
            <v>-</v>
          </cell>
          <cell r="Z35" t="str">
            <v>Yes</v>
          </cell>
          <cell r="AA35" t="str">
            <v>-</v>
          </cell>
          <cell r="AB35" t="str">
            <v>All deliverables met</v>
          </cell>
          <cell r="AC35" t="str">
            <v>-</v>
          </cell>
          <cell r="AD35" t="str">
            <v>a) From May, 2022, to August, 2025, PMU Team has assisted the department in publishing 40 CPGRAMS Monthly Reports for Central Ministries/Departments and 37 CPGRAMS Monthly Reports for States/UTs from August 2022 to August 2025
b) CPGRAMS Annual Reports for the year 2022, 2023 and 2024, highlighting the key reforms undertaken by the department in the last three years.
c) The team has worked on revamping the categorisation mapped on the CPGRAMS Portal. Preliminary analysis for 31 Ministries/Departments has been completed successfully. Out of which revised Categorisation for 25 Ministries/Departments have been made LIVE on the CPGRAMS Portal
d) CPGRAMS Success Stories booklet consisting of 100 best practices was released by Secretary, DARPG</v>
          </cell>
          <cell r="AE35" t="str">
            <v>a. PSC: NDMC and CGHS-  1st September 
b. Categorisation for Ministry of Railways made live - 9th Sept
c. August Monthly Report Release - 16th Sept
d. PSC: Govt of Tamil Nadu and 10 organisations - 19-22 Sept
e. CPGRAMS Stall in eGov conference in Vizag - 22-23 Sept
f. Monthly Review Meeting - 24th Sept
g. PRAGATI Meeting: UIDAI - 24th Sept</v>
          </cell>
          <cell r="AF35" t="str">
            <v>a. Drafting and Release of CPGRAMS Monthly Reports for Central Ministries/Departments and States/UTs
b. Coordination for CSC - LIVE
c. Coordination for data updation on Dashboard for Monthly Reports
d. Prepare PPTs on the analysis of macro and micro issues for the Central Ministries/Departments and share them accordingly
e. Coordination for Review Meeting with Central Ministries/Departments, States/UTs and Knowledge Partners
f. Categorisation exercise on demand
g. Monthly DO for Cabinet Secretary and data for SCDPM
h. Adhoc work and coordination with the department</v>
          </cell>
          <cell r="AG35" t="str">
            <v>The team is burdened by ad-hoc work of the Department which takes up a lot of their time.</v>
          </cell>
        </row>
        <row r="36">
          <cell r="E36" t="str">
            <v>PP00146</v>
          </cell>
          <cell r="F36" t="str">
            <v>Income Based</v>
          </cell>
          <cell r="G36" t="str">
            <v>Nomination</v>
          </cell>
          <cell r="H36" t="str">
            <v>Rs. 65,52,000 (Exlcluding Taxes) from 1st April,2025, to 31st March, 2026.</v>
          </cell>
          <cell r="I36" t="str">
            <v>Ongoing</v>
          </cell>
          <cell r="J36" t="str">
            <v>Department of Administrative Reforms and Public Grievances</v>
          </cell>
          <cell r="K36" t="str">
            <v>Governance</v>
          </cell>
          <cell r="L36">
            <v>44842</v>
          </cell>
          <cell r="M36" t="str">
            <v>31-03-2026</v>
          </cell>
          <cell r="N36" t="str">
            <v>-</v>
          </cell>
          <cell r="O36" t="str">
            <v>The current work order is till 31st March, 2026.</v>
          </cell>
          <cell r="P36" t="str">
            <v>QCI’s PMU supports DARPG in monitoring the Special Campaign for Disposal of Pending Matters (SCDPM) to expedite resolution of pendencies such as MP references, Parliamentary Assurances, and public grievances across Central Ministries/Departments. The PMU prepares monthly reports covering SCDPM progress, eOffice analytics, and IEDM initiatives, which are shared with Ministries/Departments by DARPG. The team also assists in the on-ground implementation of Special Campaigns within the Central Secretariat.</v>
          </cell>
          <cell r="Q36" t="str">
            <v>PMU/PMC</v>
          </cell>
          <cell r="R36">
            <v>45925</v>
          </cell>
          <cell r="S36">
            <v>3</v>
          </cell>
          <cell r="T36">
            <v>3</v>
          </cell>
          <cell r="U36" t="str">
            <v>-</v>
          </cell>
          <cell r="V36" t="str">
            <v>On Schedule</v>
          </cell>
          <cell r="W36" t="str">
            <v>-</v>
          </cell>
          <cell r="X36" t="str">
            <v>Within Budget</v>
          </cell>
          <cell r="Y36" t="str">
            <v>-</v>
          </cell>
          <cell r="Z36" t="str">
            <v>Yes</v>
          </cell>
          <cell r="AA36" t="str">
            <v>-</v>
          </cell>
          <cell r="AB36" t="str">
            <v>All deliverables met</v>
          </cell>
          <cell r="AC36" t="str">
            <v>-</v>
          </cell>
          <cell r="AD36" t="str">
            <v>The PMU team has played a pivotal role in driving Secretariat Reforms and Swachhata initiatives by reviving review meetings with 84 Ministries/Departments, ensuring sustained focus on reform priorities. Through proactive social media engagement, including targeted tweets, awareness and participation in Swachhata Pakhwada have been significantly enhanced. The team has also released 25 monthly reports on 'Secretariat Reforms', providing valuable insights into the progress of Ministries/Departments in cleanliness efforts, pendency reduction, decision-making efficiency, and eOffice adoption. Additionally, four Special Campaign Assessment Reports have been published, capturing the far-reaching impact of the campaigns across more than 11 lakh office sites from 2021 to 2024.</v>
          </cell>
          <cell r="AE36" t="str">
            <v>The month of September 2025 has been dedicated to the Preparatory Phase of Special Campaign 5.0, which will conclude on 30th September 2025. During this phase, extensive groundwork was undertaken, including the portal launch, release of campaign films and video bytes, and planning for the national launch event. A series of review and preparatory meetings were held with 84 Ministries and Departments under the guidance of the Secretary and Joint Secretary, DARPG, to ensure alignment with campaign objectives. The Hon’ble Prime Minister also reviewed and extended his support to the Campaign, underlining its national importance and the Government’s collective commitment to Swachhata and good governance. To ensure transparency and momentum, DARPG tracked campaign activities daily across tweets, PIB releases, and social media updates, while also maintaining daily status reports. Weekly review meetings were organised with nodal officers of Ministries/Departments, providing a structured platform for monitoring progress and addressing challenges. Alongside, knowledge workshops such as Cyber Swachhata and the Sushasan aur Abhilekh exhibition will also be organised to link reforms with awareness and participation. A comprehensive media plan ensured wide outreach through PIB, print, electronic, and social media platforms.
With the preparatory phase now coming to a close, planning for the Implementation Phase has already begun. From 1st October 2025, the Campaign will enter its full-fledged implementation stage, with ministries and departments actively executing their disposal targets, cleanliness drives, and reform-linked activities across the country.</v>
          </cell>
          <cell r="AF36" t="str">
            <v>1. Target Disposal: Parliamentary assurances, VIP/State/PMO references, grievances, files (review/closure/weeding), scrap &amp; e-waste.
2. Cleanliness &amp; Records: Swachhata drives, record room visits, file digitization, Sushasan aur Abhilekh exhibition.
3. Monitoring: Daily portal updates, weekly nodal officer reviews, real-time dashboards, consolidated reports.
4. Outreach: PIB releases, daily tweets, infographics, media coverage, state/PSU best practices.
5. Workshops/Events: Cyber Swachhata, Dak/Rail Chaupal, Safai Mitra and awareness sessions.
6. High-Level Reviews: Cab Sec &amp; MOS(PP) visibility, showcase of best practices, impact metrics (space freed, revenue earned, pendency reduced).</v>
          </cell>
          <cell r="AG36" t="str">
            <v>The team is burdened with ad-hoc work of the Department which takes up their time.</v>
          </cell>
        </row>
        <row r="37">
          <cell r="E37" t="str">
            <v>PP00149</v>
          </cell>
          <cell r="F37" t="str">
            <v>Income Based</v>
          </cell>
          <cell r="G37" t="str">
            <v>Nomination</v>
          </cell>
          <cell r="H37">
            <v>8794800</v>
          </cell>
          <cell r="I37" t="str">
            <v>Fully Closed</v>
          </cell>
          <cell r="J37" t="str">
            <v>MoRTH</v>
          </cell>
          <cell r="K37" t="str">
            <v>Infrastructure</v>
          </cell>
          <cell r="L37">
            <v>44823</v>
          </cell>
          <cell r="M37">
            <v>45445</v>
          </cell>
          <cell r="N37"/>
          <cell r="O37"/>
          <cell r="P37" t="str">
            <v>QCI was entrusted again for the responsibility of conducting end to end process of National Highways Excellence Awards. Portal had been launced on 23rd August, 2022. NHEA was initiated in the year 2018 with an aim to recognize companies performing exceptionally &amp; delivering finest quality services in construction &amp; management of National Highways, and making strides to raise the bar of safety, innovation &amp; sustainability.</v>
          </cell>
          <cell r="Q37" t="str">
            <v>Assessment of National Highways</v>
          </cell>
          <cell r="R37">
            <v>45627</v>
          </cell>
          <cell r="S37"/>
          <cell r="T37"/>
          <cell r="U37"/>
          <cell r="V37"/>
          <cell r="W37"/>
          <cell r="X37"/>
          <cell r="Y37"/>
          <cell r="Z37"/>
          <cell r="AA37"/>
          <cell r="AB37"/>
          <cell r="AC37"/>
          <cell r="AD37" t="str">
            <v>The award cremony was held on 6th February 2024 in the gracious presence of Sh. Nitin Gadkari, Hon’ble Minister, Road Transport &amp; Highways and Gen. (Dr.) V.K. Singh (Retd.), Hon'ble Minister of State, Road Transport &amp; Highways and Civil Aviation, who felicitated 12 award winners across 6 award categories.</v>
          </cell>
          <cell r="AE37"/>
          <cell r="AF37"/>
          <cell r="AG37"/>
        </row>
        <row r="38">
          <cell r="E38" t="str">
            <v>PP00151</v>
          </cell>
          <cell r="F38" t="str">
            <v>Income Based</v>
          </cell>
          <cell r="G38" t="str">
            <v>Nomination</v>
          </cell>
          <cell r="H38"/>
          <cell r="I38" t="str">
            <v>Ongoing</v>
          </cell>
          <cell r="J38" t="str">
            <v>Refex, SEPC, JPL Dhule, Ms Fuels, Omaxe</v>
          </cell>
          <cell r="K38" t="str">
            <v>Coal</v>
          </cell>
          <cell r="L38">
            <v>44804</v>
          </cell>
          <cell r="M38"/>
          <cell r="N38"/>
          <cell r="O38"/>
          <cell r="P38" t="str">
            <v xml:space="preserve">This project inclues of all the projects with short duaration andthose  having less quantity work. QCI have been awarded for the qualitative ananlysis at their unloading/loading/mine/port end. </v>
          </cell>
          <cell r="Q38" t="str">
            <v>TPI/TPA/TPE</v>
          </cell>
          <cell r="R38" t="str">
            <v>April'25</v>
          </cell>
          <cell r="S38" t="str">
            <v>Shared resources from PP0001</v>
          </cell>
          <cell r="T38" t="str">
            <v>Shared resources from PP0001</v>
          </cell>
          <cell r="U38"/>
          <cell r="V38" t="str">
            <v>On Schedule</v>
          </cell>
          <cell r="W38"/>
          <cell r="X38" t="str">
            <v>Within Budget</v>
          </cell>
          <cell r="Y38"/>
          <cell r="Z38" t="str">
            <v>Yes</v>
          </cell>
          <cell r="AA38" t="str">
            <v>Payment pending again 2 invoices.</v>
          </cell>
          <cell r="AB38" t="str">
            <v>All deliverables met</v>
          </cell>
          <cell r="AC38"/>
          <cell r="AD38" t="str">
            <v>QCI has sampled more than 2.91 Million Metric Tonnes of Coal in these projects</v>
          </cell>
          <cell r="AE38" t="str">
            <v>A total of 0.07 Million Metric Tonnes have been sampled this month</v>
          </cell>
          <cell r="AF38"/>
          <cell r="AG38"/>
        </row>
        <row r="39">
          <cell r="E39" t="str">
            <v>PP00153</v>
          </cell>
          <cell r="F39" t="str">
            <v>Income Based</v>
          </cell>
          <cell r="G39" t="str">
            <v>Nomination</v>
          </cell>
          <cell r="H39">
            <v>1396564</v>
          </cell>
          <cell r="I39" t="str">
            <v>Fully Closed</v>
          </cell>
          <cell r="J39" t="str">
            <v>DPIIT</v>
          </cell>
          <cell r="K39" t="str">
            <v>Leather &amp; Footwear</v>
          </cell>
          <cell r="L39">
            <v>44751</v>
          </cell>
          <cell r="M39">
            <v>44925</v>
          </cell>
          <cell r="N39" t="str">
            <v>NA</v>
          </cell>
          <cell r="O39"/>
          <cell r="P39" t="str">
            <v xml:space="preserve">1. Verification of training imparted for the Basic Footwear Cutting/Closing Operator training.
2. Verification of scholarship/stipend granted to trainees after successful completion of training, and
3. Verification of post-training employment records of the trainees.
</v>
          </cell>
          <cell r="Q39" t="str">
            <v>TPI/TPA/TPE</v>
          </cell>
          <cell r="R39">
            <v>45565</v>
          </cell>
          <cell r="S39"/>
          <cell r="T39"/>
          <cell r="U39" t="str">
            <v>NA</v>
          </cell>
          <cell r="V39" t="str">
            <v>On Schedule</v>
          </cell>
          <cell r="W39"/>
          <cell r="X39" t="str">
            <v>Within Budget</v>
          </cell>
          <cell r="Y39"/>
          <cell r="Z39" t="str">
            <v>Yes</v>
          </cell>
          <cell r="AA39"/>
          <cell r="AB39" t="str">
            <v>All deliverables met</v>
          </cell>
          <cell r="AC39"/>
          <cell r="AD39" t="str">
            <v>QCI conducted a Third-Party Verification of trainees enrolled under the Primary Skill Development Programme (PSDP) at the Central Footwear Training Institute (CFTI), Agra, for the financial year 2019–20. This initiative falls under the Human Resource Development (HRD) sub-scheme of the Indian Footwear and Leather Accessories Development Programme (IFLADP).
The verification exercise revealed multiple irregularities in the implementation of the training program. Overall lapses were found to have significantly impacted the effectiveness of the program, resulting in employment generation figures that were considerably lower than those claimed by CFTI Agra.
In light of these findings, DPIIT initiated an internal inquiry and subsequently suspended further implementation of the scheme at the concerned institute.</v>
          </cell>
          <cell r="AE39"/>
          <cell r="AF39"/>
          <cell r="AG39"/>
        </row>
        <row r="40">
          <cell r="E40" t="str">
            <v>PP00155</v>
          </cell>
          <cell r="F40" t="str">
            <v>Income Based</v>
          </cell>
          <cell r="G40" t="str">
            <v>Nomination</v>
          </cell>
          <cell r="H40">
            <v>9000000</v>
          </cell>
          <cell r="I40" t="str">
            <v>Completed</v>
          </cell>
          <cell r="J40" t="str">
            <v xml:space="preserve">Lanco Amarkantak </v>
          </cell>
          <cell r="K40" t="str">
            <v>Coal</v>
          </cell>
          <cell r="L40">
            <v>44883</v>
          </cell>
          <cell r="M40">
            <v>45626</v>
          </cell>
          <cell r="N40"/>
          <cell r="O40"/>
          <cell r="P40" t="str">
            <v xml:space="preserve">Lanco Amarkantak Power Limited has awarded work to Quality Council of India for carrying out sampling and analysis of indigenous  and import coal at their unloading end. </v>
          </cell>
          <cell r="Q40" t="str">
            <v>TPI/TPA/TPE</v>
          </cell>
          <cell r="R40" t="str">
            <v>April'25</v>
          </cell>
          <cell r="S40"/>
          <cell r="T40"/>
          <cell r="U40"/>
          <cell r="V40" t="str">
            <v>On Schedule</v>
          </cell>
          <cell r="W40"/>
          <cell r="X40" t="str">
            <v>Within Budget</v>
          </cell>
          <cell r="Y40"/>
          <cell r="Z40" t="str">
            <v>Yes</v>
          </cell>
          <cell r="AA40" t="str">
            <v>Payments pending for the month of Nov'24</v>
          </cell>
          <cell r="AB40" t="str">
            <v>All deliverables met</v>
          </cell>
          <cell r="AC40"/>
          <cell r="AD40" t="str">
            <v>A total volume of 2.76 Million Metric Tonnes of Coal has been sampled since the inception.</v>
          </cell>
          <cell r="AE40"/>
          <cell r="AF40" t="str">
            <v>To get the pending payments clear</v>
          </cell>
          <cell r="AG40"/>
        </row>
        <row r="41">
          <cell r="E41" t="str">
            <v>PP00156</v>
          </cell>
          <cell r="F41" t="str">
            <v>Income Based</v>
          </cell>
          <cell r="G41" t="str">
            <v>Nomination</v>
          </cell>
          <cell r="H41" t="str">
            <v>Rs. 13,44,000 (Excluding Taxes)</v>
          </cell>
          <cell r="I41" t="str">
            <v>Ongoing</v>
          </cell>
          <cell r="J41" t="str">
            <v>DPIIT</v>
          </cell>
          <cell r="K41" t="str">
            <v>Governance</v>
          </cell>
          <cell r="L41" t="str">
            <v>31-10-2022</v>
          </cell>
          <cell r="M41" t="str">
            <v>31-01-2023</v>
          </cell>
          <cell r="N41" t="str">
            <v>31-10-2025</v>
          </cell>
          <cell r="O41" t="str">
            <v>No formal extension. Final submitted report is yet to get approval.</v>
          </cell>
          <cell r="P41" t="str">
            <v>The assessment focuses on adjudging the quality and agility with regard to DPIIT’s functioning and service delivery through their administrative processes. The pilot study conducted may be replicated across Ministries / Departments once the baseline/benchmark is established on the basis of the result produced in pilot study.</v>
          </cell>
          <cell r="Q41" t="str">
            <v>TPI/TPA/TPE</v>
          </cell>
          <cell r="R41">
            <v>45925</v>
          </cell>
          <cell r="S41" t="str">
            <v>-</v>
          </cell>
          <cell r="T41" t="str">
            <v>-</v>
          </cell>
          <cell r="U41" t="str">
            <v>-</v>
          </cell>
          <cell r="V41" t="str">
            <v>Behind Schedule</v>
          </cell>
          <cell r="W41" t="str">
            <v>The data collection and stakeholder engagement scope was enhanced to include all sections of the Department.</v>
          </cell>
          <cell r="X41" t="str">
            <v>Over Budget</v>
          </cell>
          <cell r="Y41" t="str">
            <v>-</v>
          </cell>
          <cell r="Z41" t="str">
            <v>Yes</v>
          </cell>
          <cell r="AA41" t="str">
            <v>Invoice generation milestones are only 2: Start of Project and end of Project.The 1st invoice payment has been received. The final invoice has been generated but payment is yet to be received.</v>
          </cell>
          <cell r="AB41" t="str">
            <v>All deliverables met</v>
          </cell>
          <cell r="AC41" t="str">
            <v>-</v>
          </cell>
          <cell r="AD41" t="str">
            <v>The project assessed DPIIT’s organizational effectiveness, functions, and stakeholder perceptions, identifying key gaps and areas for improvement. Through extensive consultations, it provided recommendations to enhance administrative systems, leverage technology, and drive capacity building. An implementation plan was shared, mapping these recommendations to relevant sections. The study also proposed creating a baseline standard for certifying quality and agility in service delivery across ministries. A meeting is planned with the Additional Secretary, DPIIT, to finalize the way forward.</v>
          </cell>
          <cell r="AE41" t="str">
            <v>A meeting with Additonal Secretary, DPIIT is to be planned to finalise the way forward and close out the report.</v>
          </cell>
          <cell r="AF41" t="str">
            <v>- Drafting and release of the NWF monthly report.
- Identification of e-governance best practices at Central, State/UT and City level for monthly report featuring  
- Facilitation of third session of the NeGW 2025-26 Series
- Facilitating review meeting with States/UTs to discuss the progress on e-services and challenges faced by States/UTs</v>
          </cell>
          <cell r="AG41" t="str">
            <v>Scope enhancement: Led to delay in timelines of deliverables and cost overrun
Multiplicity of Stakeholders: DPIIT wants DARPG's sign off on the entire exercise and each of it's components (proposal, methodology, questionnaire, report) which led to delay in timelines of deliverables and cost overrun.</v>
          </cell>
        </row>
        <row r="42">
          <cell r="E42" t="str">
            <v>PP00157</v>
          </cell>
          <cell r="F42" t="str">
            <v>Income Based</v>
          </cell>
          <cell r="G42" t="str">
            <v>Nomination</v>
          </cell>
          <cell r="H42">
            <v>12509160</v>
          </cell>
          <cell r="I42" t="str">
            <v>Fully Closed</v>
          </cell>
          <cell r="J42" t="str">
            <v>Samagra Shiksha, Department of Education, AP</v>
          </cell>
          <cell r="K42" t="str">
            <v>Education</v>
          </cell>
          <cell r="L42">
            <v>44902</v>
          </cell>
          <cell r="M42">
            <v>45023</v>
          </cell>
          <cell r="N42"/>
          <cell r="O42"/>
          <cell r="P42" t="str">
            <v>The Department of School Education onboarded QCI as a quality assurance partner to ensure that the procured products meet 100% compliance with the specified Indian Standards. This partnership is critical to guaranteeing that only quality products are delivered to the end beneficiaries, thereby maintaining trust and achieving the scheme's objectives.</v>
          </cell>
          <cell r="Q42" t="str">
            <v>TPI/TPA/TPE</v>
          </cell>
          <cell r="R42">
            <v>45536</v>
          </cell>
          <cell r="S42"/>
          <cell r="T42"/>
          <cell r="U42"/>
          <cell r="V42" t="str">
            <v>On Schedule</v>
          </cell>
          <cell r="W42"/>
          <cell r="X42" t="str">
            <v>Within Budget</v>
          </cell>
          <cell r="Y42"/>
          <cell r="Z42" t="str">
            <v>Yes</v>
          </cell>
          <cell r="AA42"/>
          <cell r="AB42" t="str">
            <v>All deliverables met</v>
          </cell>
          <cell r="AC42"/>
          <cell r="AD42" t="str">
            <v>1.	Product Integrity &amp; Compliance – 100% adherence to prescribed standards, reducing defect rates and enhancing durability.
2.	Improved Student Experience – Ensuring that 33.75 lakh students across 49,190 schools in 26 districts receive high-quality learning materials, contributing to better learning outcomes.
3.	Operational Efficiency – Strengthening procurement mechanisms through proactive testing and quality checks, reducing rejections and delays.
4.	Governance &amp; Trust – Enhancing transparency and accountability in public procurement, reinforcing stakeholder confidence in the initiative.</v>
          </cell>
          <cell r="AE42"/>
          <cell r="AF42"/>
          <cell r="AG42"/>
        </row>
        <row r="43">
          <cell r="E43" t="str">
            <v>PP00158</v>
          </cell>
          <cell r="F43" t="str">
            <v>Income Based</v>
          </cell>
          <cell r="G43" t="str">
            <v>Nomination</v>
          </cell>
          <cell r="H43">
            <v>800000</v>
          </cell>
          <cell r="I43" t="str">
            <v>Completed</v>
          </cell>
          <cell r="J43" t="str">
            <v>NTPC</v>
          </cell>
          <cell r="K43" t="str">
            <v>Coal</v>
          </cell>
          <cell r="L43">
            <v>44632</v>
          </cell>
          <cell r="M43">
            <v>45596</v>
          </cell>
          <cell r="N43"/>
          <cell r="O43"/>
          <cell r="P43" t="str">
            <v>NTPC-SAIL Power Company Limited has awarded work to Quality Council of India for carrying out sampling and analysis of coal at their unloading end.</v>
          </cell>
          <cell r="Q43" t="str">
            <v>TPI/TPA/TPE</v>
          </cell>
          <cell r="R43" t="str">
            <v>April'25</v>
          </cell>
          <cell r="S43"/>
          <cell r="T43"/>
          <cell r="U43"/>
          <cell r="V43" t="str">
            <v>On Schedule</v>
          </cell>
          <cell r="W43"/>
          <cell r="X43" t="str">
            <v>Within Budget</v>
          </cell>
          <cell r="Y43"/>
          <cell r="Z43" t="str">
            <v>Yes</v>
          </cell>
          <cell r="AA43" t="str">
            <v>Invoices are raised, payments would take 2-3 months be cleared.</v>
          </cell>
          <cell r="AB43" t="str">
            <v>All deliverables met</v>
          </cell>
          <cell r="AC43"/>
          <cell r="AD43" t="str">
            <v>A total volume of 0.357 Million Metric Tonnes has been sampled since the inception.</v>
          </cell>
          <cell r="AE43"/>
          <cell r="AF43"/>
          <cell r="AG43"/>
        </row>
        <row r="44">
          <cell r="E44" t="str">
            <v>PP00159</v>
          </cell>
          <cell r="F44" t="str">
            <v>Income Based</v>
          </cell>
          <cell r="G44" t="str">
            <v>Nomination</v>
          </cell>
          <cell r="H44">
            <v>2490880</v>
          </cell>
          <cell r="I44" t="str">
            <v>Fully Closed</v>
          </cell>
          <cell r="J44" t="str">
            <v>DPIIT</v>
          </cell>
          <cell r="K44" t="str">
            <v>Leather &amp; Footwear</v>
          </cell>
          <cell r="L44">
            <v>44909</v>
          </cell>
          <cell r="M44">
            <v>45031</v>
          </cell>
          <cell r="N44" t="str">
            <v>NA</v>
          </cell>
          <cell r="O44"/>
          <cell r="P44" t="str">
            <v>1. Verification of training imparted for the Basic Closing Operator – Goods &amp; Garments or Basic Closing Operator – Footwear.
2. Verification of scholarship/stipend granted to trainees after successful completion of training.
3. Verification of post-training employment records of the trainees.</v>
          </cell>
          <cell r="Q44" t="str">
            <v>TPI/TPA/TPE</v>
          </cell>
          <cell r="R44">
            <v>45565</v>
          </cell>
          <cell r="S44"/>
          <cell r="T44"/>
          <cell r="U44" t="str">
            <v>NA</v>
          </cell>
          <cell r="V44" t="str">
            <v>On Schedule</v>
          </cell>
          <cell r="W44"/>
          <cell r="X44" t="str">
            <v>Within Budget</v>
          </cell>
          <cell r="Y44"/>
          <cell r="Z44" t="str">
            <v>Yes</v>
          </cell>
          <cell r="AA44"/>
          <cell r="AB44" t="str">
            <v>All deliverables met</v>
          </cell>
          <cell r="AC44"/>
          <cell r="AD44" t="str">
            <v>QCI conducted a Third-Party Verification of trainees enrolled under the Primary Skill Development Programme (PSDP) at the Central Footwear Training Institute (CFTI), Chennai, for the financial year 2019–20. This initiative falls under the Human Resource Development (HRD) sub-scheme of the Indian Footwear and Leather Accessories Development Programme (IFLADP).
The verification exercise revealed multiple irregularities in the implementation of the training program. Overall lapses were found to have significantly impacted the effectiveness of the program, resulting in employment generation figures that were considerably lower than those claimed by CFTI Chennai.
In light of these findings, DPIIT initiated an internal inquiry and subsequently suspended further implementation of the scheme.</v>
          </cell>
          <cell r="AE44"/>
          <cell r="AF44"/>
          <cell r="AG44"/>
        </row>
        <row r="45">
          <cell r="E45" t="str">
            <v>PP00160</v>
          </cell>
          <cell r="F45" t="str">
            <v>Income Based</v>
          </cell>
          <cell r="G45" t="str">
            <v>Nomination</v>
          </cell>
          <cell r="H45">
            <v>9294880</v>
          </cell>
          <cell r="I45" t="str">
            <v>Fully Closed</v>
          </cell>
          <cell r="J45" t="str">
            <v>FCI</v>
          </cell>
          <cell r="K45" t="str">
            <v>Food Security</v>
          </cell>
          <cell r="L45">
            <v>44902</v>
          </cell>
          <cell r="M45">
            <v>45016</v>
          </cell>
          <cell r="N45"/>
          <cell r="O45"/>
          <cell r="P45" t="str">
            <v>Entrusted with the task of re-assessment of 492 FCI warehouses</v>
          </cell>
          <cell r="Q45" t="str">
            <v>TPI/TPA/TPE</v>
          </cell>
          <cell r="R45">
            <v>45505</v>
          </cell>
          <cell r="S45"/>
          <cell r="T45"/>
          <cell r="U45"/>
          <cell r="V45"/>
          <cell r="W45"/>
          <cell r="X45"/>
          <cell r="Y45"/>
          <cell r="Z45"/>
          <cell r="AA45"/>
          <cell r="AB45"/>
          <cell r="AC45"/>
          <cell r="AD45" t="str">
            <v>To track the status of improvement and of upgradation by the FCI warehouses based on QCI recommendations</v>
          </cell>
          <cell r="AE45"/>
          <cell r="AF45"/>
          <cell r="AG45"/>
        </row>
        <row r="46">
          <cell r="E46" t="str">
            <v>PP00161</v>
          </cell>
          <cell r="F46" t="str">
            <v>Income Based</v>
          </cell>
          <cell r="G46" t="str">
            <v>Nomination</v>
          </cell>
          <cell r="H46">
            <v>3095680</v>
          </cell>
          <cell r="I46" t="str">
            <v>Completed</v>
          </cell>
          <cell r="J46" t="str">
            <v>MoJS (NRCD)</v>
          </cell>
          <cell r="K46" t="str">
            <v>Water &amp; Sanitation</v>
          </cell>
          <cell r="L46">
            <v>45119</v>
          </cell>
          <cell r="M46">
            <v>45485</v>
          </cell>
          <cell r="N46"/>
          <cell r="O46" t="str">
            <v>Final submitted report is yet to get approval</v>
          </cell>
          <cell r="P46" t="str">
            <v>Pan-India Assessment of 86 Sewage Treatment Plants (STPs) which falls under NRCD</v>
          </cell>
          <cell r="Q46" t="str">
            <v>TPI/TPA/TPE</v>
          </cell>
          <cell r="R46">
            <v>45565</v>
          </cell>
          <cell r="S46"/>
          <cell r="T46"/>
          <cell r="U46"/>
          <cell r="V46" t="str">
            <v>On Schedule</v>
          </cell>
          <cell r="W46"/>
          <cell r="X46" t="str">
            <v>Within Budget</v>
          </cell>
          <cell r="Y46"/>
          <cell r="Z46" t="str">
            <v>Yes</v>
          </cell>
          <cell r="AA46"/>
          <cell r="AB46" t="str">
            <v>All deliverables met</v>
          </cell>
          <cell r="AC46"/>
          <cell r="AD46" t="str">
            <v>The purpose of the project is to :
 1. To Assess Functionality of the STP
 2. NDT testing of STP
 3. Recommendation for rennovation of STPs
 4. To Assess STP Fire and Saftey protocols
 5. Funcunality of SCADA and OCEM systems</v>
          </cell>
          <cell r="AE46" t="str">
            <v>1.Assessment of all 86 STPs completed</v>
          </cell>
          <cell r="AF46"/>
          <cell r="AG46"/>
        </row>
        <row r="47">
          <cell r="E47" t="str">
            <v>PP00162</v>
          </cell>
          <cell r="F47" t="str">
            <v>Income Based</v>
          </cell>
          <cell r="G47" t="str">
            <v>Nomination</v>
          </cell>
          <cell r="H47">
            <v>2714946.78</v>
          </cell>
          <cell r="I47" t="str">
            <v>Fully Closed</v>
          </cell>
          <cell r="J47" t="str">
            <v>U.P. Projects Corporation Ltd.</v>
          </cell>
          <cell r="K47" t="str">
            <v>Infrastructure</v>
          </cell>
          <cell r="L47">
            <v>44986</v>
          </cell>
          <cell r="M47">
            <v>45382</v>
          </cell>
          <cell r="N47"/>
          <cell r="O47"/>
          <cell r="P47" t="str">
            <v>QCI was contracted by UPPCL to perform inspections on projects associated with Panchkosi Yatra, as well as other Yatras such as Asht Vinayak Yatra, Kashi mai Chaar Dham Yatra, Kashi Vishnu Yatra, Kashi Bhairav Yatra, and various other Yatras in the city of Varanasi. 
The inspection also encompasses Rameshwar Ghat and Jai Vinayak Ghat, with a specific focus on evaluating the presence and adequacy of toe walls, breast walls, retaining walls, and other structural elements required in Ghats. The objective was to conduct inspections throughout the construction phase of the projects in order to assess the quality of the ongoing works executed by UPPCL.</v>
          </cell>
          <cell r="Q47" t="str">
            <v>TPI/TPA/TPE</v>
          </cell>
          <cell r="R47">
            <v>45627</v>
          </cell>
          <cell r="S47"/>
          <cell r="T47"/>
          <cell r="U47"/>
          <cell r="V47" t="str">
            <v>On Schedule</v>
          </cell>
          <cell r="W47"/>
          <cell r="X47" t="str">
            <v>Within Budget</v>
          </cell>
          <cell r="Y47"/>
          <cell r="Z47" t="str">
            <v>Yes</v>
          </cell>
          <cell r="AA47"/>
          <cell r="AB47" t="str">
            <v>All deliverables met</v>
          </cell>
          <cell r="AC47"/>
          <cell r="AD47" t="str">
            <v xml:space="preserve">QCI made a monthly inspection visit throughout the construction period in Varanasi and so far, QCI has submitted 12 inspection reports consisting of general observations, defects &amp; deficiencies along with recommendations to the client. </v>
          </cell>
          <cell r="AE47"/>
          <cell r="AF47"/>
          <cell r="AG47"/>
        </row>
        <row r="48">
          <cell r="E48" t="str">
            <v>PP00163</v>
          </cell>
          <cell r="F48" t="str">
            <v>Income Based</v>
          </cell>
          <cell r="G48" t="str">
            <v>Nomination</v>
          </cell>
          <cell r="H48">
            <v>4525498</v>
          </cell>
          <cell r="I48" t="str">
            <v>Fully Closed</v>
          </cell>
          <cell r="J48" t="str">
            <v>Ministry of Housing and Urban Affairs (MoHUA)</v>
          </cell>
          <cell r="K48" t="str">
            <v>Infrastructure &amp; Governance</v>
          </cell>
          <cell r="L48">
            <v>45231</v>
          </cell>
          <cell r="M48">
            <v>45201</v>
          </cell>
          <cell r="N48">
            <v>45205</v>
          </cell>
          <cell r="O48"/>
          <cell r="P48" t="str">
            <v>Safety And security Assessment of ICCC</v>
          </cell>
          <cell r="Q48" t="str">
            <v>TPI/TPA/TPE</v>
          </cell>
          <cell r="R48" t="str">
            <v>May 2, 2025</v>
          </cell>
          <cell r="S48"/>
          <cell r="T48"/>
          <cell r="U48"/>
          <cell r="V48" t="str">
            <v>On Schedule</v>
          </cell>
          <cell r="W48"/>
          <cell r="X48" t="str">
            <v>Within Budget</v>
          </cell>
          <cell r="Y48"/>
          <cell r="Z48" t="str">
            <v>Yes</v>
          </cell>
          <cell r="AA48"/>
          <cell r="AB48" t="str">
            <v>All deliverables met</v>
          </cell>
          <cell r="AC48"/>
          <cell r="AD48" t="str">
            <v>Issued official guideline to 100 Smart city on how they improvise the infra for more safer and secure enviroment in cities</v>
          </cell>
          <cell r="AE48"/>
          <cell r="AF48"/>
          <cell r="AG48"/>
        </row>
        <row r="49">
          <cell r="E49" t="str">
            <v>PP00164</v>
          </cell>
          <cell r="F49" t="str">
            <v>Income Based</v>
          </cell>
          <cell r="G49" t="str">
            <v>Tender</v>
          </cell>
          <cell r="H49">
            <v>132411267</v>
          </cell>
          <cell r="I49" t="str">
            <v>Fully Closed</v>
          </cell>
          <cell r="J49" t="str">
            <v>SBM III/ PHE Division, MoHUA</v>
          </cell>
          <cell r="K49" t="str">
            <v xml:space="preserve">Sanitation </v>
          </cell>
          <cell r="L49">
            <v>44999</v>
          </cell>
          <cell r="M49">
            <v>45298</v>
          </cell>
          <cell r="N49"/>
          <cell r="O49"/>
          <cell r="P49" t="str">
            <v>Conducted Independent Assessment and Certification of the urban loacal bodies for SBM ODF Protocols and Star rating Protocol.</v>
          </cell>
          <cell r="Q49" t="str">
            <v>TPI/TPA/TPE</v>
          </cell>
          <cell r="R49">
            <v>45717</v>
          </cell>
          <cell r="S49">
            <v>0</v>
          </cell>
          <cell r="T49"/>
          <cell r="U49"/>
          <cell r="V49" t="str">
            <v>On Schedule</v>
          </cell>
          <cell r="W49"/>
          <cell r="X49" t="str">
            <v>Within Budget</v>
          </cell>
          <cell r="Y49"/>
          <cell r="Z49" t="str">
            <v>Yes</v>
          </cell>
          <cell r="AA49"/>
          <cell r="AB49" t="str">
            <v>All deliverables met</v>
          </cell>
          <cell r="AC49"/>
          <cell r="AD49" t="str">
            <v>Field assessment of 3751 ULBs is completed for ODF and assessment of 2069 ULBs of GFC is completed.</v>
          </cell>
          <cell r="AE49" t="str">
            <v>Project Completed</v>
          </cell>
          <cell r="AF49"/>
          <cell r="AG49" t="str">
            <v>Project Completed</v>
          </cell>
        </row>
        <row r="50">
          <cell r="E50" t="str">
            <v>PP00167</v>
          </cell>
          <cell r="F50" t="str">
            <v>Income Based</v>
          </cell>
          <cell r="G50" t="str">
            <v>Nomination</v>
          </cell>
          <cell r="H50">
            <v>1013148</v>
          </cell>
          <cell r="I50" t="str">
            <v>Fully Closed</v>
          </cell>
          <cell r="J50" t="str">
            <v>India Trade Promotion Organisation</v>
          </cell>
          <cell r="K50" t="str">
            <v>Infrastructure</v>
          </cell>
          <cell r="L50">
            <v>45139</v>
          </cell>
          <cell r="M50">
            <v>45061</v>
          </cell>
          <cell r="N50"/>
          <cell r="O50"/>
          <cell r="P50" t="str">
            <v>Third party inspection of box Girders and trusses of convention centre which were part of ongoing preparation of G20 summit.</v>
          </cell>
          <cell r="Q50" t="str">
            <v>TPI/TPA/TPE</v>
          </cell>
          <cell r="R50">
            <v>45748</v>
          </cell>
          <cell r="S50"/>
          <cell r="T50"/>
          <cell r="U50" t="str">
            <v xml:space="preserve">Project Completed </v>
          </cell>
          <cell r="V50" t="str">
            <v>On Schedule</v>
          </cell>
          <cell r="W50"/>
          <cell r="X50" t="str">
            <v>Over Budget</v>
          </cell>
          <cell r="Y50" t="str">
            <v>additional manpower were mapped under this project due to which the project expense exceeded the planned budget.</v>
          </cell>
          <cell r="Z50" t="str">
            <v>Yes</v>
          </cell>
          <cell r="AA50"/>
          <cell r="AB50" t="str">
            <v>All deliverables met</v>
          </cell>
          <cell r="AC50"/>
          <cell r="AD50" t="str">
            <v>Project completed in May 2023.</v>
          </cell>
          <cell r="AE50" t="str">
            <v xml:space="preserve"> Project completed .</v>
          </cell>
          <cell r="AF50"/>
          <cell r="AG50" t="str">
            <v>Due to scheduled G20 summit, the client was very engaged, and the payment was cleared very late than expected</v>
          </cell>
        </row>
        <row r="51">
          <cell r="E51" t="str">
            <v>PP00168</v>
          </cell>
          <cell r="F51" t="str">
            <v>Income Based</v>
          </cell>
          <cell r="G51" t="str">
            <v>Nomination</v>
          </cell>
          <cell r="H51">
            <v>6552000</v>
          </cell>
          <cell r="I51" t="str">
            <v>Ongoing</v>
          </cell>
          <cell r="J51" t="str">
            <v>Department of Administrative Reforms and Public Grievances</v>
          </cell>
          <cell r="K51" t="str">
            <v>Governance</v>
          </cell>
          <cell r="L51">
            <v>45109</v>
          </cell>
          <cell r="M51" t="str">
            <v>31-03-2026</v>
          </cell>
          <cell r="N51" t="str">
            <v>-</v>
          </cell>
          <cell r="O51" t="str">
            <v>The current work order is till 31st March, 2026.</v>
          </cell>
          <cell r="P51" t="str">
            <v>National e-Governance Service Delivery Assessment (NeSDA) assesses and benchmarks State/UTs and Central Govt. on the depth and effectiveness of e-governance service delivery. The NeSDA PMU assists DARPG to monitor and evaluate the implementation of recommendations given in the NeSDA 2021 report, along with assisting in National eGovernance Webinar Series, RTS meetings etc.</v>
          </cell>
          <cell r="Q51" t="str">
            <v>PMU/PMC</v>
          </cell>
          <cell r="R51">
            <v>45925</v>
          </cell>
          <cell r="S51">
            <v>2</v>
          </cell>
          <cell r="T51">
            <v>2</v>
          </cell>
          <cell r="U51" t="str">
            <v>-</v>
          </cell>
          <cell r="V51" t="str">
            <v>On Schedule</v>
          </cell>
          <cell r="W51" t="str">
            <v>-</v>
          </cell>
          <cell r="X51" t="str">
            <v>Within Budget</v>
          </cell>
          <cell r="Y51" t="str">
            <v>-</v>
          </cell>
          <cell r="Z51" t="str">
            <v>Yes</v>
          </cell>
          <cell r="AA51" t="str">
            <v>-</v>
          </cell>
          <cell r="AB51" t="str">
            <v>All deliverables met</v>
          </cell>
          <cell r="AC51" t="str">
            <v>-</v>
          </cell>
          <cell r="AD51" t="str">
            <v>The NeSDA Way Forward PMU published 28 monthly reports dedicated to strengthen the e-service delivery with special emphasis on saturation of mandatory e-services and unified service delivery portals. Conducted an exhaustive sector-wise analysis of approximately 16,000 e-services across all States/UTs. In August 2025, 23,402 e-services were being provided across states/UTs as compared to 11,614 e-services in April 2023, resulting in over 101% rise. Facilitated 12 National e-Governance Webinars, showcasing award-winning initiatives, with participation from over 1000 officials.</v>
          </cell>
          <cell r="AE51" t="str">
            <v xml:space="preserve">- Drafting and release of the NWF monthly report.
- Identification of e-governance best practices at Central, State/UT and City level for monthly report featuring  
- Provided support to the NCeG 2025 team and DARPG in successfully organising the National Conference on e-Governance held at Visakhapatnam
- Fixed errors identified on the front end of NeSDA Way Forward (NWF) Dashboard 
- Assisted States/UTs with mapping of mandatory services on NWF dashboard </v>
          </cell>
          <cell r="AF51" t="str">
            <v>- Drafting and release of the NWF monthly report.
- Identification of e-governance best practices at Central, State/UT and City level for monthly report featuring  
- Facilitation of third session of the NeGW 2025-26 Series
- Facilitating review meeting with States/UTs to discuss the progress on e-services and challenges faced by States/UTs</v>
          </cell>
          <cell r="AG51" t="str">
            <v>The team is burdened by ad-hoc work of the Department which takes up a lot of their time.</v>
          </cell>
        </row>
        <row r="52">
          <cell r="E52" t="str">
            <v>PP00170</v>
          </cell>
          <cell r="F52" t="str">
            <v>Income Based</v>
          </cell>
          <cell r="G52" t="str">
            <v>Tender</v>
          </cell>
          <cell r="H52">
            <v>13336271.189999999</v>
          </cell>
          <cell r="I52" t="str">
            <v>Completed</v>
          </cell>
          <cell r="J52" t="str">
            <v>NBCC</v>
          </cell>
          <cell r="K52" t="str">
            <v xml:space="preserve">Infrastructure </v>
          </cell>
          <cell r="L52">
            <v>44998</v>
          </cell>
          <cell r="M52">
            <v>45701</v>
          </cell>
          <cell r="N52"/>
          <cell r="O52" t="str">
            <v>Last Payment of Rs. 4.5 Lakhs awaited from client</v>
          </cell>
          <cell r="P52" t="str">
            <v xml:space="preserve">The objective of the project was to conduct a TPI of Redevelopment of Residential Colony of AIIMSQCI was entrusted with conducting quality assurances for Civil structures, materials and workmanship of civil, plumbing, electrical, mechanical, MEP, external development and all other allied works required to complete the project at appropriate stages of construction. Responsibility of QCI included highlighting the problem area, if any, and suggesting step/solution for the same to achieve the overall target of quality assurance. </v>
          </cell>
          <cell r="Q52" t="str">
            <v>TPI/TPA/TPE</v>
          </cell>
          <cell r="R52">
            <v>45809</v>
          </cell>
          <cell r="S52">
            <v>0</v>
          </cell>
          <cell r="T52">
            <v>0</v>
          </cell>
          <cell r="U52"/>
          <cell r="V52" t="str">
            <v>On Schedule</v>
          </cell>
          <cell r="W52"/>
          <cell r="X52" t="str">
            <v>Within Budget</v>
          </cell>
          <cell r="Y52"/>
          <cell r="Z52" t="str">
            <v>No</v>
          </cell>
          <cell r="AA52" t="str">
            <v>Client has requested for delayed payment in this FY</v>
          </cell>
          <cell r="AB52" t="str">
            <v>All deliverables met</v>
          </cell>
          <cell r="AC52"/>
          <cell r="AD52" t="str">
            <v>For the construction of a total of 9 Residential Towers of G + 20 floors and 4 nos of commercial towers, QCI has deployed manpower at the site to supervise the ongoing construction of Commercial towers. However, QCI could inspect only the commercial Complex and the construction of residential towers were paused due to fund issues.</v>
          </cell>
          <cell r="AE52" t="str">
            <v>Payment pending from client for the concluding invoices</v>
          </cell>
          <cell r="AF52"/>
          <cell r="AG52" t="str">
            <v>The project was preclosed due to fund issues.</v>
          </cell>
        </row>
        <row r="53">
          <cell r="E53" t="str">
            <v>PP00173</v>
          </cell>
          <cell r="F53" t="str">
            <v>Income Based</v>
          </cell>
          <cell r="G53" t="str">
            <v>Tender</v>
          </cell>
          <cell r="H53">
            <v>3787840</v>
          </cell>
          <cell r="I53" t="str">
            <v>Completed</v>
          </cell>
          <cell r="J53" t="str">
            <v>Bhopal Municipal Corporation</v>
          </cell>
          <cell r="K53" t="str">
            <v>Sanitation</v>
          </cell>
          <cell r="L53">
            <v>44960</v>
          </cell>
          <cell r="M53">
            <v>45746</v>
          </cell>
          <cell r="N53"/>
          <cell r="O53"/>
          <cell r="P53" t="str">
            <v xml:space="preserve">The project focuses on assessing Bhopal Municipal Corporation's (BMC) compliance with water supply benchmarks, including coverage, quality, quantity, and user charge reforms, to align with national standards. It will evaluate BMC’s water supply management practices and operational efficiency of sewage and water treatment plants, identifying opportunities for optimization. Strategies to reduce non-revenue water (NRW) will include creating district metered areas (DMAs) and training programs to minimize leakages. To date, QCI has conducted three quarterly assessments, bringing significant improvements to BMC's water management segment. </v>
          </cell>
          <cell r="Q53" t="str">
            <v>TPI/TPA/TPE</v>
          </cell>
          <cell r="R53">
            <v>45717</v>
          </cell>
          <cell r="S53">
            <v>0</v>
          </cell>
          <cell r="T53"/>
          <cell r="U53"/>
          <cell r="V53" t="str">
            <v>On Schedule</v>
          </cell>
          <cell r="W53"/>
          <cell r="X53" t="str">
            <v>Within Budget</v>
          </cell>
          <cell r="Y53"/>
          <cell r="Z53" t="str">
            <v>Yes</v>
          </cell>
          <cell r="AA53"/>
          <cell r="AB53" t="str">
            <v>All deliverables met</v>
          </cell>
          <cell r="AC53"/>
          <cell r="AD53" t="str">
            <v>The project enabled Bhopal Municipal Corporation to gain a comprehensive understanding of its compliance with water supply and service level benchmarks, improving governance and operational practices. It facilitated the identification of gaps in sewage and water treatment plant performance and supported the reduction of non-revenue water through DMA-based strategies and targeted training. The assessment also provided actionable insights for the rejuvenation of traditional water bodies and wells, while strengthening mechanisms for the collection, treatment, and reuse of treated wastewater, thereby enhancing the city's overall water management preparedness for Pey-Jal Survekshan.</v>
          </cell>
          <cell r="AE53" t="str">
            <v>N/A</v>
          </cell>
          <cell r="AF53"/>
          <cell r="AG53" t="str">
            <v>N/A</v>
          </cell>
        </row>
        <row r="54">
          <cell r="E54" t="str">
            <v>PP00175</v>
          </cell>
          <cell r="F54" t="str">
            <v>Income Based</v>
          </cell>
          <cell r="G54" t="str">
            <v>Nomination</v>
          </cell>
          <cell r="H54">
            <v>8584800</v>
          </cell>
          <cell r="I54" t="str">
            <v>Completed</v>
          </cell>
          <cell r="J54" t="str">
            <v>MoHUA</v>
          </cell>
          <cell r="K54" t="str">
            <v>Finance</v>
          </cell>
          <cell r="L54">
            <v>45140</v>
          </cell>
          <cell r="M54">
            <v>45412</v>
          </cell>
          <cell r="N54">
            <v>45473</v>
          </cell>
          <cell r="O54" t="str">
            <v xml:space="preserve">The final rankings and the guidelines were being re-visited after which the Code of Conduct was implemented and the elections were held. </v>
          </cell>
          <cell r="P54" t="str">
            <v xml:space="preserve">Collected and conducted assessment of the financial data of the ULBs, to rank them on certain parameters. Also provided outreach, training and support to the states and the ULBs in submitting their data. </v>
          </cell>
          <cell r="Q54" t="str">
            <v>PMU/PMC</v>
          </cell>
          <cell r="R54">
            <v>45658</v>
          </cell>
          <cell r="S54"/>
          <cell r="T54"/>
          <cell r="U54"/>
          <cell r="V54" t="str">
            <v>On Schedule</v>
          </cell>
          <cell r="W54"/>
          <cell r="X54" t="str">
            <v>Within Budget</v>
          </cell>
          <cell r="Y54"/>
          <cell r="Z54" t="str">
            <v>Yes</v>
          </cell>
          <cell r="AA54" t="str">
            <v xml:space="preserve">The Ministry only started processing the invoices after the extension notice was given on 4th July 2024. They are currently processing the 3rd and the 4th invoice. The BG is being processed by QCI, post which, the 5th and final invoice will be submitted. </v>
          </cell>
          <cell r="AB54" t="str">
            <v>All deliverables met</v>
          </cell>
          <cell r="AC54"/>
          <cell r="AD54" t="str">
            <v xml:space="preserve">• Assessed 2,570 ULB applications on the portal
• Finalized assessment of 1,596 ULBs and verification of 1,597 ULBs.
• Finalized 1,596 ULB applications for rankings
• Re-verified the data and addressed the data flags for 1,400+ ULBs.
• Conducted 25 online training across 16 States and offline training in 5 States covering 1,200+ ULBs
• The participation of municipalities in ‘City Finance Rankings’ was closed at 2,570 ULBs
• Undertook cold calling of 3,000+ ULBs
• Conducted social media campaigns, created WhatsApp groups for ULBs, and conducted outreach programs across 21 states
</v>
          </cell>
          <cell r="AE54" t="str">
            <v xml:space="preserve">Sending any remaining information required by the Ministry for the final report. </v>
          </cell>
          <cell r="AF54"/>
          <cell r="AG54" t="str">
            <v xml:space="preserve">1. This project was done for the first time, hence no standard SOP was there to guide the project process and the project planning. 
</v>
          </cell>
        </row>
        <row r="55">
          <cell r="E55" t="str">
            <v>PP00176</v>
          </cell>
          <cell r="F55" t="str">
            <v>Income Based</v>
          </cell>
          <cell r="G55" t="str">
            <v>Tender</v>
          </cell>
          <cell r="H55">
            <v>8016816</v>
          </cell>
          <cell r="I55" t="str">
            <v>Ongoing</v>
          </cell>
          <cell r="J55" t="str">
            <v>Kanpur Electricity Supply Company</v>
          </cell>
          <cell r="K55" t="str">
            <v xml:space="preserve">Electrical </v>
          </cell>
          <cell r="L55">
            <v>44999</v>
          </cell>
          <cell r="M55">
            <v>45702</v>
          </cell>
          <cell r="N55" t="str">
            <v>31-09-2025</v>
          </cell>
          <cell r="O55" t="str">
            <v>The work at client's end is not completed and running late of schedule</v>
          </cell>
          <cell r="P55" t="str">
            <v>The work of inspection shall include the inspection of quality of erection works executed under RDSS Project, at various locations of KESCo, Kanpur. Following is the scope of work 
• To monitor the quality assurance mechanism (QAM) including verification and inspections of erection work
• Carry out field inspections on sample basis during implementation to verify works are carried out in compliance to technical specifications and acceptable quality of workmanship.
• Issue Site Observation Reports (SOR) and follow-up with the subcontractor/manufacturer for implementation of any remedial actions.
• Upon completion of activity, carry out joint inspections together with the KESCo’s staff and for final measurements and quality inspections.
• Follow-up any on technical issues for corrective action during defects liability period with the subcontractor/manufacturer.
• Formulation of detail comprehensive quality assurance mechanism plan/GTP as case may be for work to be carried out under RDSS scheme with objective to create quality infrastructure.</v>
          </cell>
          <cell r="Q55" t="str">
            <v>TPI/TPA/TPE</v>
          </cell>
          <cell r="R55">
            <v>45809</v>
          </cell>
          <cell r="S55">
            <v>4</v>
          </cell>
          <cell r="T55">
            <v>4</v>
          </cell>
          <cell r="U55"/>
          <cell r="V55" t="str">
            <v>On Schedule</v>
          </cell>
          <cell r="W55"/>
          <cell r="X55" t="str">
            <v>Within Budget</v>
          </cell>
          <cell r="Y55"/>
          <cell r="Z55" t="str">
            <v>Yes</v>
          </cell>
          <cell r="AA55"/>
          <cell r="AB55" t="str">
            <v>All deliverables met</v>
          </cell>
          <cell r="AC55"/>
          <cell r="AD55" t="str">
            <v>A total of 700+ JMCs have been completed including Site Inspection and Compliance. All the Inspection Reports have also been successfully submited to the MD.</v>
          </cell>
          <cell r="AE55" t="str">
            <v>150+ sites will be inspected</v>
          </cell>
          <cell r="AF55"/>
          <cell r="AG55" t="str">
            <v>The sites are spread over Kanpur and the inspection in Summer, winter and rainy seasons is challenging</v>
          </cell>
        </row>
        <row r="56">
          <cell r="E56" t="str">
            <v>PP00177</v>
          </cell>
          <cell r="F56" t="str">
            <v>Income Based</v>
          </cell>
          <cell r="G56" t="str">
            <v>Nomination</v>
          </cell>
          <cell r="H56">
            <v>3497150</v>
          </cell>
          <cell r="I56" t="str">
            <v>Ongoing</v>
          </cell>
          <cell r="J56" t="str">
            <v>Construction &amp; Design Services U.P. Jal Nigam</v>
          </cell>
          <cell r="K56" t="str">
            <v xml:space="preserve">Infrastructure </v>
          </cell>
          <cell r="L56">
            <v>44930</v>
          </cell>
          <cell r="M56">
            <v>45661</v>
          </cell>
          <cell r="N56" t="str">
            <v>-</v>
          </cell>
          <cell r="O56" t="str">
            <v xml:space="preserve">This is a visit-based project. Out of 8 visits, 6 visits have been completed and 2 site visits remaining. </v>
          </cell>
          <cell r="P56" t="str">
            <v xml:space="preserve">QCI has been entrusted by C&amp;DS U.P. Jal Nigam to conduct Third Party Inspections (TPI) at Dr. Bhim Rao Ambedkar International Stadium in the city of Ayodhya. The construction of the cricket stadium started back in 2006, but unfortunately, the project was halted back in 2017 and couldn’t be completed. The objective is to conduct TPI throughout the construction phase of the project in order to assess the quality and perform non-destructive test of the existing and ongoing works.  </v>
          </cell>
          <cell r="Q56" t="str">
            <v>TPI/TPA/TPE</v>
          </cell>
          <cell r="R56">
            <v>45901</v>
          </cell>
          <cell r="S56">
            <v>0</v>
          </cell>
          <cell r="T56">
            <v>0</v>
          </cell>
          <cell r="U56"/>
          <cell r="V56" t="str">
            <v>On Schedule</v>
          </cell>
          <cell r="W56"/>
          <cell r="X56" t="str">
            <v>Within Budget</v>
          </cell>
          <cell r="Y56"/>
          <cell r="Z56" t="str">
            <v>Yes</v>
          </cell>
          <cell r="AA56"/>
          <cell r="AB56" t="str">
            <v>All deliverables met</v>
          </cell>
          <cell r="AC56"/>
          <cell r="AD56" t="str">
            <v>QCI has conducted 8 out of 8 site visits and a detailed report consisting of general observations, defects &amp; deficiencies along with recommendations has been submitted to the client.</v>
          </cell>
          <cell r="AE56" t="str">
            <v>Awaiting final payment from client</v>
          </cell>
          <cell r="AF56"/>
          <cell r="AG56"/>
        </row>
        <row r="57">
          <cell r="E57" t="str">
            <v>PP00178</v>
          </cell>
          <cell r="F57" t="str">
            <v>Income Based</v>
          </cell>
          <cell r="G57" t="str">
            <v>Nomination</v>
          </cell>
          <cell r="H57">
            <v>200000</v>
          </cell>
          <cell r="I57" t="str">
            <v>Fully Closed</v>
          </cell>
          <cell r="J57" t="str">
            <v>Capacity Building Commission</v>
          </cell>
          <cell r="K57" t="str">
            <v>Social Impact</v>
          </cell>
          <cell r="L57">
            <v>45013</v>
          </cell>
          <cell r="M57">
            <v>44933</v>
          </cell>
          <cell r="N57"/>
          <cell r="O57"/>
          <cell r="P57" t="str">
            <v>QCI has been contracted by CBC to conduct an assessment aimed at measuring the impact of the training program implemented throughout the Union Territory of Jammu and Kashmir. The impact assessment was carried out in both divisions of Jammu and Kashmir, four police stations were selected from each division by CBC for the assessment. The objective of the project is to evaluate the impact of the Mission Karmayogi training provided to police personnel in Jammu and Kashmir. This training encompassed behavioral aspects and a curriculum focused on societal betterment to promote community inclusiveness.</v>
          </cell>
          <cell r="Q57" t="str">
            <v>Assesment</v>
          </cell>
          <cell r="R57">
            <v>45627</v>
          </cell>
          <cell r="S57"/>
          <cell r="T57"/>
          <cell r="U57"/>
          <cell r="V57"/>
          <cell r="W57"/>
          <cell r="X57"/>
          <cell r="Y57"/>
          <cell r="Z57"/>
          <cell r="AA57"/>
          <cell r="AB57"/>
          <cell r="AC57"/>
          <cell r="AD57" t="str">
            <v xml:space="preserve">The assessment involved conducting in-person interviews with two SHOs/SIs (KIIs) and five police constables at each police station who regularly engage with the public at the concerned police stations. Additionally, a Citizen Perception Survey and Focused Group Discussions (FGDs) were conducted to gather perspectives and insights from the community.
The data collected was then analysed and the report was submitted to the client. </v>
          </cell>
          <cell r="AE57"/>
          <cell r="AF57"/>
          <cell r="AG57"/>
        </row>
        <row r="58">
          <cell r="E58" t="str">
            <v>PP00179</v>
          </cell>
          <cell r="F58" t="str">
            <v>Income Based</v>
          </cell>
          <cell r="G58" t="str">
            <v>Nomination</v>
          </cell>
          <cell r="H58">
            <v>3141600</v>
          </cell>
          <cell r="I58" t="str">
            <v>Fully Closed</v>
          </cell>
          <cell r="J58" t="str">
            <v>Virgo Communications and Exhibitions Pvt. Ltd.</v>
          </cell>
          <cell r="K58" t="str">
            <v>Infrastructure</v>
          </cell>
          <cell r="L58">
            <v>45050</v>
          </cell>
          <cell r="M58">
            <v>45415</v>
          </cell>
          <cell r="N58"/>
          <cell r="O58"/>
          <cell r="P58" t="str">
            <v>QCI has been appointed by Virgo Communications as a Technical Evaluation Partner with the purpose of developing a platform for the Elevator Industry and introducing the inaugural Elevator Awards in India. These awards aim to acknowledge technological advancements and provide incentives to the key players in the industry.
The project seeks to recognize and reward stakeholders who demonstrate exceptional performance and deliver high-quality services in areas such as Design, Adaptation, Implementation of Technology, and Management of Elevators and Escalators. The primary goal of this initiative is to elevate standards of Safety, Quality, and User-Experience in the Elevator and Escalator industry.</v>
          </cell>
          <cell r="Q58" t="str">
            <v>Assessment</v>
          </cell>
          <cell r="R58">
            <v>45536</v>
          </cell>
          <cell r="S58"/>
          <cell r="T58"/>
          <cell r="U58"/>
          <cell r="V58"/>
          <cell r="W58"/>
          <cell r="X58"/>
          <cell r="Y58"/>
          <cell r="Z58"/>
          <cell r="AA58"/>
          <cell r="AB58"/>
          <cell r="AC58"/>
          <cell r="AD58" t="str">
            <v>QCI has completed desktop and field assessment. The winners were announced on 2nd March 2024.</v>
          </cell>
          <cell r="AE58"/>
          <cell r="AF58"/>
          <cell r="AG58"/>
        </row>
        <row r="59">
          <cell r="E59" t="str">
            <v>PP00181</v>
          </cell>
          <cell r="F59" t="str">
            <v>Income Based</v>
          </cell>
          <cell r="G59"/>
          <cell r="H59">
            <v>63941651</v>
          </cell>
          <cell r="I59" t="str">
            <v>Fully Closed</v>
          </cell>
          <cell r="J59" t="str">
            <v>Ministry of MHA</v>
          </cell>
          <cell r="K59" t="str">
            <v>Law Enforcement Agencies (LEAs)</v>
          </cell>
          <cell r="L59">
            <v>45037</v>
          </cell>
          <cell r="M59">
            <v>45254</v>
          </cell>
          <cell r="N59">
            <v>45315</v>
          </cell>
          <cell r="O59"/>
          <cell r="P59" t="str">
            <v>1.) The overall objective of the study is to do a baseline study and an impact assessment of the last eight (8) DGsP/IGsP Conferences from 2014 until 2021.
2.) To understand the status, impact, awareness, and level of surveillance on the implementation of the recommendations, in each State and Union Territory including CAPFs, CPOs &amp; Prison Department.
3.) To study recommendations mapped to SMART Policing and Prison Reforms.</v>
          </cell>
          <cell r="Q59" t="str">
            <v>TPI/TPA/TPE</v>
          </cell>
          <cell r="R59" t="str">
            <v>Dec'24</v>
          </cell>
          <cell r="S59"/>
          <cell r="T59"/>
          <cell r="U59"/>
          <cell r="V59" t="str">
            <v>On Schedule</v>
          </cell>
          <cell r="W59"/>
          <cell r="X59" t="str">
            <v>Within Budget</v>
          </cell>
          <cell r="Y59"/>
          <cell r="Z59" t="str">
            <v>Yes</v>
          </cell>
          <cell r="AA59" t="str">
            <v>Full and final settlement (3rd/last installment) is yet to be received from the client.</v>
          </cell>
          <cell r="AB59" t="str">
            <v>All deliverables met</v>
          </cell>
          <cell r="AC59"/>
          <cell r="AD59" t="str">
            <v>1.) Level of understanding, awareness and perception of the stakeholders towards the proposed recommendations according to theme-wise.
2.) A detailed report on the analysis of the citizen feedback of both complainants and general public.
3.) State-wise customized evaluation reports consisting of theme wise rankings.
4.) A final report consisting of nation-wide rankings as per themes to be shared at the completion of project.</v>
          </cell>
          <cell r="AE59" t="str">
            <v>NA</v>
          </cell>
          <cell r="AF59" t="str">
            <v>NA</v>
          </cell>
          <cell r="AG59" t="str">
            <v>NA</v>
          </cell>
        </row>
        <row r="60">
          <cell r="E60" t="str">
            <v>PP00183</v>
          </cell>
          <cell r="F60" t="str">
            <v>Income Based</v>
          </cell>
          <cell r="G60" t="str">
            <v>Nomination</v>
          </cell>
          <cell r="H60">
            <v>1890000</v>
          </cell>
          <cell r="I60" t="str">
            <v>Ongoing</v>
          </cell>
          <cell r="J60" t="str">
            <v>General Administration Department, Government of Maharashtra</v>
          </cell>
          <cell r="K60" t="str">
            <v>Governance</v>
          </cell>
          <cell r="L60" t="str">
            <v>27-04-2023</v>
          </cell>
          <cell r="M60" t="str">
            <v>27-06-2023</v>
          </cell>
          <cell r="N60" t="str">
            <v>30-09-2025</v>
          </cell>
          <cell r="O60" t="str">
            <v>No formal extension. Final submitted report is yet to get approval.</v>
          </cell>
          <cell r="P60" t="str">
            <v>The Government of Maharashtra is conducting an evaluation study in all its districts and Secretariat administration through QCI using the four pronged approach, as done by QCI for DARPG of the Central Secretariat,. The aim of the project is to evaluate the consequences of these measures on overall functioning and work productivity of the departments.</v>
          </cell>
          <cell r="Q60" t="str">
            <v>TPI/TPA/TPE</v>
          </cell>
          <cell r="R60">
            <v>45894</v>
          </cell>
          <cell r="S60" t="str">
            <v>-</v>
          </cell>
          <cell r="T60"/>
          <cell r="U60" t="str">
            <v>-</v>
          </cell>
          <cell r="V60" t="str">
            <v>Behind Schedule</v>
          </cell>
          <cell r="W60" t="str">
            <v>The project is running on extended timelines as the Departments did not fill the questionnaire in time and a part of data (eOffice) is not being furnished by the NIC, Maharashtra. The client is unresponsive.</v>
          </cell>
          <cell r="X60" t="str">
            <v>Over Budget</v>
          </cell>
          <cell r="Y60" t="str">
            <v>The cost has gone over budget for 2 reasons:
1. Delay by Departments: The Departments took a lot more time than envisaged to collect the data required for the questionnaire, and the client was not willing to proactively urge the Departments on the same.
2. Travel: Travel component was not included in the proposal but the Additional Chief Secretary requested the Team to physically visit the Departments in Mumbai and handhold in order to submit their questionnaire.
We have tried to get reimbursement of the travel cost (on actuals) and submitted an invoice on the same. No progress has been seen on the reimbursement from the client's side.</v>
          </cell>
          <cell r="Z60" t="str">
            <v>Yes</v>
          </cell>
          <cell r="AA60" t="str">
            <v>The final invoice on finalising the report will be raised once the client approves the draft report and the way forward. 
We have tried to get reimbursement of the travel cost (on actuals) and submitted an invoice on the same. No progress has been seen on the reimbursement from the client's side.</v>
          </cell>
          <cell r="AB60" t="str">
            <v>Some deliverables met</v>
          </cell>
          <cell r="AC60" t="str">
            <v>Draft Report has been submitted without incorporating the eOffice Data.</v>
          </cell>
          <cell r="AD60" t="str">
            <v>Evaluation of all 40 Departments in the Gov. of Maharashtra with the objective of Implementation of the Maharashtra Manual of Office Procedure, 2023 has been completed. The pilot exercise for this study was conducted in 2 departments of the Maharashtra Mantralaya namely the Rural Development Department and Revenue Department. Based on the Pilot Study, certain changes were incorporated in the Questionnaire created by QCI.</v>
          </cell>
          <cell r="AE60" t="str">
            <v>Team is following up with the client for comments on the draft report and the way forward.
The eOffice data is awaited from all Departments. It will be incorporated in the Final report.</v>
          </cell>
          <cell r="AF60"/>
          <cell r="AG60" t="str">
            <v>Delay by Departments: The Departments took a lot more time than envisaged to collect the data required for the questionnaire, and the client was not willing to proactively urge the Departments on the same.</v>
          </cell>
        </row>
        <row r="61">
          <cell r="E61" t="str">
            <v>PP00184</v>
          </cell>
          <cell r="F61" t="str">
            <v>Income Based</v>
          </cell>
          <cell r="G61" t="str">
            <v>Tender</v>
          </cell>
          <cell r="H61">
            <v>1475170</v>
          </cell>
          <cell r="I61" t="str">
            <v>Fully Closed</v>
          </cell>
          <cell r="J61" t="str">
            <v>PMRF, IIT Madras</v>
          </cell>
          <cell r="K61" t="str">
            <v>Education</v>
          </cell>
          <cell r="L61">
            <v>45076</v>
          </cell>
          <cell r="M61">
            <v>45196</v>
          </cell>
          <cell r="N61" t="str">
            <v>NA</v>
          </cell>
          <cell r="O61"/>
          <cell r="P61" t="str">
            <v>1. To understand and document the impact of the scheme on its stakeholders.
2. Benefits/impact to all stakeholders to be quantified.</v>
          </cell>
          <cell r="Q61" t="str">
            <v>TPI/TPA/TPE</v>
          </cell>
          <cell r="R61">
            <v>45779</v>
          </cell>
          <cell r="S61">
            <v>0</v>
          </cell>
          <cell r="T61">
            <v>0</v>
          </cell>
          <cell r="U61" t="str">
            <v>NA</v>
          </cell>
          <cell r="V61" t="str">
            <v>On Schedule</v>
          </cell>
          <cell r="W61"/>
          <cell r="X61" t="str">
            <v>Within Budget</v>
          </cell>
          <cell r="Y61"/>
          <cell r="Z61" t="str">
            <v>Yes</v>
          </cell>
          <cell r="AA61"/>
          <cell r="AB61" t="str">
            <v>All deliverables met</v>
          </cell>
          <cell r="AC61"/>
          <cell r="AD61" t="str">
            <v>Following the outcomes and recommendations of the Third-Party Evaluation of the PMRF scheme, the Ministry of Education has extended the Prime Minister’s Research Fellowship (PMRF) scheme for an additional five years. This extension paves the way for the inclusion of 10,000 more Ph.D. scholars, thereby strengthening the research and development ecosystem in the country’s top 25 NIRF-ranked institutions, including IISc, IITs, IISERs, NITs, and Central Universities.
In addition, QCI has recommended the introduction of a similar initiative to foster a robust post-doctoral research culture in India, proposing the launch of a potential scheme such as the Prime Minister’s Post-Doctoral Fellowship (PMPDF) in the near future.</v>
          </cell>
          <cell r="AE61"/>
          <cell r="AF61"/>
          <cell r="AG61"/>
        </row>
        <row r="62">
          <cell r="E62" t="str">
            <v>PP00185</v>
          </cell>
          <cell r="F62" t="str">
            <v>Income Based</v>
          </cell>
          <cell r="G62" t="str">
            <v>Nomination</v>
          </cell>
          <cell r="H62">
            <v>7013130</v>
          </cell>
          <cell r="I62" t="str">
            <v>Fully Closed</v>
          </cell>
          <cell r="J62" t="str">
            <v>CWC</v>
          </cell>
          <cell r="K62" t="str">
            <v>Food Security</v>
          </cell>
          <cell r="L62">
            <v>45001</v>
          </cell>
          <cell r="M62">
            <v>45189</v>
          </cell>
          <cell r="N62"/>
          <cell r="O62"/>
          <cell r="P62" t="str">
            <v>The objective was to assess 376 CWC warehouses to evaluate safety standards, infrastructure, fire safety, theft prevention, grain treatments, and storage conditions. It also aimed to identify gaps between current and desired practices and recommend improvements, including technological interventions and best practices.</v>
          </cell>
          <cell r="Q62" t="str">
            <v>TPI/TPA/TPE</v>
          </cell>
          <cell r="R62">
            <v>45505</v>
          </cell>
          <cell r="S62"/>
          <cell r="T62"/>
          <cell r="U62"/>
          <cell r="V62"/>
          <cell r="W62"/>
          <cell r="X62"/>
          <cell r="Y62"/>
          <cell r="Z62"/>
          <cell r="AA62"/>
          <cell r="AB62"/>
          <cell r="AC62"/>
          <cell r="AD62" t="str">
            <v>The outcome highlighted gaps between current and desired practices, provided ratings based on collected evidence, and offered recommendations to enhance warehouse practices where out of the 376 assessed warehouses, 103 received 5-star rating, 231 received 4-star rating, 38 received 3-star rating, 3 received 2-star rating and 1 received 1-star rating.</v>
          </cell>
          <cell r="AE62"/>
          <cell r="AF62"/>
          <cell r="AG62"/>
        </row>
        <row r="63">
          <cell r="E63" t="str">
            <v>PP00186</v>
          </cell>
          <cell r="F63" t="str">
            <v>Income Based</v>
          </cell>
          <cell r="G63" t="str">
            <v>Nomination</v>
          </cell>
          <cell r="H63">
            <v>1641701.13</v>
          </cell>
          <cell r="I63" t="str">
            <v>Ongoing</v>
          </cell>
          <cell r="J63" t="str">
            <v>U.P. Projects Corporation Ltd.</v>
          </cell>
          <cell r="K63" t="str">
            <v xml:space="preserve">Infrastructure </v>
          </cell>
          <cell r="L63">
            <v>45071</v>
          </cell>
          <cell r="M63">
            <v>45565</v>
          </cell>
          <cell r="N63">
            <v>45900</v>
          </cell>
          <cell r="O63" t="str">
            <v>There is no particular end date of the project from the client side. The project will go on till the completion of the work.</v>
          </cell>
          <cell r="P63" t="str">
            <v>Conducting third party inspection of Judge Guest House Ghat, Shastri Ghat and Chandrawati Ghat in Varanasi. The main aim is to conduct inspections throughout the entire construction process of the project, which will be spanning over a duration of approximately 9 months. Following each inspection, a comprehensive report will be provided.</v>
          </cell>
          <cell r="Q63" t="str">
            <v>TPI/TPA/TPE</v>
          </cell>
          <cell r="R63">
            <v>45901</v>
          </cell>
          <cell r="S63">
            <v>0</v>
          </cell>
          <cell r="T63"/>
          <cell r="U63"/>
          <cell r="V63" t="str">
            <v>On Schedule</v>
          </cell>
          <cell r="W63"/>
          <cell r="X63" t="str">
            <v>Within Budget</v>
          </cell>
          <cell r="Y63"/>
          <cell r="Z63" t="str">
            <v>Yes</v>
          </cell>
          <cell r="AA63"/>
          <cell r="AB63" t="str">
            <v>All deliverables met</v>
          </cell>
          <cell r="AC63"/>
          <cell r="AD63" t="str">
            <v xml:space="preserve">QCI has been making a monthly visit for site inspection and so far, we have submitted 10th inspection reports consisting of general observations, defects &amp; deficiencies along with recommendations to the client. </v>
          </cell>
          <cell r="AE63" t="str">
            <v>QCI shall be conducting 11th site inspection in October 2025</v>
          </cell>
          <cell r="AF63"/>
          <cell r="AG63"/>
        </row>
        <row r="64">
          <cell r="E64" t="str">
            <v>PP00187</v>
          </cell>
          <cell r="F64" t="str">
            <v>Income Based</v>
          </cell>
          <cell r="G64" t="str">
            <v>Nomination</v>
          </cell>
          <cell r="H64">
            <v>6090327.5300000003</v>
          </cell>
          <cell r="I64" t="str">
            <v>Fully Closed</v>
          </cell>
          <cell r="J64" t="str">
            <v>Bihar Institute of Public Administration and Rural Development, Govt. of Bihar</v>
          </cell>
          <cell r="K64" t="str">
            <v xml:space="preserve">Infrastructure </v>
          </cell>
          <cell r="L64">
            <v>44991</v>
          </cell>
          <cell r="M64">
            <v>45657</v>
          </cell>
          <cell r="N64"/>
          <cell r="O64"/>
          <cell r="P64" t="str">
            <v xml:space="preserve">Conducting Third Party Inspections (TPI) at Walmi campus, Patna and BIPARD campus, Gaya. The TPI would be in 2 phases for civil constructions &amp; electrical/ electronic works. </v>
          </cell>
          <cell r="Q64" t="str">
            <v>TPI/TPA/TPE</v>
          </cell>
          <cell r="R64">
            <v>45809</v>
          </cell>
          <cell r="S64">
            <v>0</v>
          </cell>
          <cell r="T64"/>
          <cell r="U64"/>
          <cell r="V64" t="str">
            <v>On Schedule</v>
          </cell>
          <cell r="W64"/>
          <cell r="X64" t="str">
            <v>Within Budget</v>
          </cell>
          <cell r="Y64"/>
          <cell r="Z64" t="str">
            <v>Yes</v>
          </cell>
          <cell r="AA64"/>
          <cell r="AB64" t="str">
            <v>All deliverables met</v>
          </cell>
          <cell r="AC64"/>
          <cell r="AD64" t="str">
            <v xml:space="preserve">
The TPI was done in 2 phases for civil constructions &amp; electrical/ electronic works. QCI team has concluded both phases of inspection which included documents review along with visual inspection and non-destructive test. QCI also received additional work locations (for TPI) from the client and has successfully concluded the site inspections and submitted the reports consisting of general observations, defects &amp; deficiencies with recommendations to the client.</v>
          </cell>
          <cell r="AE64" t="str">
            <v xml:space="preserve">Project is completed &amp; full payment received </v>
          </cell>
          <cell r="AF64"/>
          <cell r="AG64"/>
        </row>
        <row r="65">
          <cell r="E65" t="str">
            <v>PP00188</v>
          </cell>
          <cell r="F65" t="str">
            <v>Income Based</v>
          </cell>
          <cell r="G65" t="str">
            <v>Nomination</v>
          </cell>
          <cell r="H65">
            <v>7450240</v>
          </cell>
          <cell r="I65" t="str">
            <v>Fully Closed</v>
          </cell>
          <cell r="J65" t="str">
            <v>Samagra Shiksha, Department of Education, AP</v>
          </cell>
          <cell r="K65" t="str">
            <v>Education</v>
          </cell>
          <cell r="L65">
            <v>45120</v>
          </cell>
          <cell r="M65" t="str">
            <v>13-11-2023</v>
          </cell>
          <cell r="N65"/>
          <cell r="O65"/>
          <cell r="P65" t="str">
            <v>Project was discarded due to some change of plan at clients end</v>
          </cell>
          <cell r="Q65"/>
          <cell r="R65"/>
          <cell r="S65"/>
          <cell r="T65"/>
          <cell r="U65"/>
          <cell r="V65"/>
          <cell r="W65"/>
          <cell r="X65"/>
          <cell r="Y65"/>
          <cell r="Z65"/>
          <cell r="AA65"/>
          <cell r="AB65"/>
          <cell r="AC65"/>
          <cell r="AD65" t="str">
            <v>Project was discarded due to some change of plan at clients end</v>
          </cell>
          <cell r="AE65"/>
          <cell r="AF65"/>
          <cell r="AG65"/>
        </row>
        <row r="66">
          <cell r="E66" t="str">
            <v>PP00189</v>
          </cell>
          <cell r="F66" t="str">
            <v>Income Based</v>
          </cell>
          <cell r="G66" t="str">
            <v>Nomination</v>
          </cell>
          <cell r="H66"/>
          <cell r="I66" t="str">
            <v>Fully Closed</v>
          </cell>
          <cell r="J66" t="str">
            <v>MHA</v>
          </cell>
          <cell r="K66"/>
          <cell r="L66"/>
          <cell r="M66"/>
          <cell r="N66"/>
          <cell r="O66"/>
          <cell r="P66"/>
          <cell r="Q66"/>
          <cell r="R66"/>
          <cell r="S66"/>
          <cell r="T66"/>
          <cell r="U66"/>
          <cell r="V66" t="str">
            <v>On Schedule</v>
          </cell>
          <cell r="W66"/>
          <cell r="X66" t="str">
            <v>Within Budget</v>
          </cell>
          <cell r="Y66"/>
          <cell r="Z66"/>
          <cell r="AA66"/>
          <cell r="AB66"/>
          <cell r="AC66"/>
          <cell r="AD66"/>
          <cell r="AE66"/>
          <cell r="AF66"/>
          <cell r="AG66"/>
        </row>
        <row r="67">
          <cell r="E67" t="str">
            <v>PP00191</v>
          </cell>
          <cell r="F67" t="str">
            <v>Income Based</v>
          </cell>
          <cell r="G67" t="str">
            <v>Nomination</v>
          </cell>
          <cell r="H67">
            <v>11062800</v>
          </cell>
          <cell r="I67" t="str">
            <v>Fully Closed</v>
          </cell>
          <cell r="J67" t="str">
            <v>Samagra Shiksha, Department of Education, AP</v>
          </cell>
          <cell r="K67" t="str">
            <v>Education</v>
          </cell>
          <cell r="L67">
            <v>45135</v>
          </cell>
          <cell r="M67">
            <v>45227</v>
          </cell>
          <cell r="N67"/>
          <cell r="O67"/>
          <cell r="P67" t="str">
            <v>Project was discarded due to some change of plan at clients end</v>
          </cell>
          <cell r="Q67"/>
          <cell r="R67"/>
          <cell r="S67"/>
          <cell r="T67"/>
          <cell r="U67"/>
          <cell r="V67"/>
          <cell r="W67"/>
          <cell r="X67"/>
          <cell r="Y67"/>
          <cell r="Z67"/>
          <cell r="AA67"/>
          <cell r="AB67"/>
          <cell r="AC67"/>
          <cell r="AD67" t="str">
            <v>Project was discarded due to some change of plan at clients end</v>
          </cell>
          <cell r="AE67"/>
          <cell r="AF67"/>
          <cell r="AG67"/>
        </row>
        <row r="68">
          <cell r="E68" t="str">
            <v>PP00192</v>
          </cell>
          <cell r="F68" t="str">
            <v>Income Based</v>
          </cell>
          <cell r="G68" t="str">
            <v>Nomination</v>
          </cell>
          <cell r="H68">
            <v>1690879</v>
          </cell>
          <cell r="I68" t="str">
            <v>Fully Closed</v>
          </cell>
          <cell r="J68" t="str">
            <v>DPIIT</v>
          </cell>
          <cell r="K68" t="str">
            <v>IEM</v>
          </cell>
          <cell r="L68">
            <v>45140</v>
          </cell>
          <cell r="M68">
            <v>45299</v>
          </cell>
          <cell r="N68"/>
          <cell r="O68"/>
          <cell r="P68" t="str">
            <v>DPIIT requires an in-depth check on services provided, in order to assess the effectiveness of the digital initiative of the organization and complaints against particular functionalities therein, ease of doing business, and the overall importance of the said certification.</v>
          </cell>
          <cell r="Q68" t="str">
            <v>No</v>
          </cell>
          <cell r="R68">
            <v>45536</v>
          </cell>
          <cell r="S68"/>
          <cell r="T68"/>
          <cell r="U68"/>
          <cell r="V68" t="str">
            <v>On Schedule</v>
          </cell>
          <cell r="W68"/>
          <cell r="X68" t="str">
            <v>Within Budget</v>
          </cell>
          <cell r="Y68"/>
          <cell r="Z68" t="str">
            <v>No</v>
          </cell>
          <cell r="AA68" t="str">
            <v>TDS amount deducted and GST amount not paid; Client has been duly informed, with the pertinent documents of TDS and GST payment, shared</v>
          </cell>
          <cell r="AB68" t="str">
            <v>All deliverables met</v>
          </cell>
          <cell r="AC68"/>
          <cell r="AD68" t="str">
            <v xml:space="preserve">1.	Challenges in Application Process
1.1.	Users faced difficulties in applying for Part B of the IEM certificate due to the lack of clear SOPs and walkthroughs.
1.2.	Technical issues were frequently reported while filling out the Part B application form.
2.	Challenges in Amendment Process
2.1.	Many users experienced delays in processing amendment requests, with little customer support available.
2.2.	Absence of tracking features made it difficult to monitor amendment progress.
2.3.	Users were unaware of additional charges (INR 250 per product) for exceeding the 10-product limit when amending IEM certificates.
3.	Turnaround Time (TAT) Issues
3.1.	Acknowledgment took 7–10 working days, while final certificates were delayed by up to 1–3 months.
3.2.	Users suggested an ideal processing time of 1–2 working days.
4.	Transparency and User Satisfaction
4.1.	Lack of tracking features and difficulty in accessing department authorities led to user dissatisfaction.
4.2.	A need for better application guidelines and document checklists was highlighted.
4.3.	Data privacy concerns were raised regarding confidential customer details.
4.4.	Customer Support Issues
4.5.	Users reported delays in grievance redressal and difficulty in obtaining refunds due to system failures.
4.6.	There was a demand for a seamless refund process to address multiple payment issues.
</v>
          </cell>
          <cell r="AE68"/>
          <cell r="AF68"/>
          <cell r="AG68"/>
        </row>
        <row r="69">
          <cell r="E69" t="str">
            <v>PP00193</v>
          </cell>
          <cell r="F69" t="str">
            <v>Income Based</v>
          </cell>
          <cell r="G69" t="str">
            <v>Nomination</v>
          </cell>
          <cell r="H69">
            <v>255333</v>
          </cell>
          <cell r="I69" t="str">
            <v>Completed</v>
          </cell>
          <cell r="J69" t="str">
            <v>NDMC</v>
          </cell>
          <cell r="K69" t="str">
            <v>Education</v>
          </cell>
          <cell r="L69">
            <v>45138</v>
          </cell>
          <cell r="M69">
            <v>45158</v>
          </cell>
          <cell r="N69"/>
          <cell r="O69"/>
          <cell r="P69" t="str">
            <v>The Quality Council of India (QCI) has proposed a quality assurance process for furniture items procured by NDMC for Atal Adarsh Vidyalaya (AAV) and Navyug Schools. The project aims to ensure that 14 categories of furniture, including desks, chairs, tables, and cabinets, meet the specified technical standards.
Key Highlights:
Methodology:
Documentation Review
On-site physical inspection by an experienced assessor
Lab testing in NABL-accredited laboratories
Final reporting with quality assessment results
Timeline &amp; Deliverables:
The project will be completed in 15 working days
A detailed quality report will be submitted</v>
          </cell>
          <cell r="Q69" t="str">
            <v>TPI/TPA/TPE</v>
          </cell>
          <cell r="R69">
            <v>45536</v>
          </cell>
          <cell r="S69">
            <v>0</v>
          </cell>
          <cell r="T69"/>
          <cell r="U69"/>
          <cell r="V69" t="str">
            <v>On Schedule</v>
          </cell>
          <cell r="W69"/>
          <cell r="X69" t="str">
            <v>Within Budget</v>
          </cell>
          <cell r="Y69"/>
          <cell r="Z69" t="str">
            <v>Yes</v>
          </cell>
          <cell r="AA69"/>
          <cell r="AB69" t="str">
            <v>All deliverables met</v>
          </cell>
          <cell r="AC69"/>
          <cell r="AD69" t="str">
            <v xml:space="preserve">1.	Verification of Compliance:
1.1.	Confirmation that the 14 categories of furniture meet the prescribed technical specifications and quality standards.
1.2.	Identification of any deviations from the required standards.
2.	Enhanced Quality Assurance:
2.1.	Assurance that school furniture is safe, durable, and suitable for student use.
2.2.	Detection of any structural defects, material inconsistencies, or workmanship flaws.
3.	Actionable Recommendations:
3.1.	A detailed quality assessment report highlighting:
3.2.	Approved items that meet quality standards.
3.3.	Rejected items with non-compliance reasons.
3.4.	Corrective actions for defective items.
4.	Transparent &amp; Unbiased Evaluation:
4.1.	Independent and data-backed quality verification, ensuring fair assessment.
4.2.	Strengthening of procurement decisions based on test results.
5.	Improved Procurement Process:
5.1.	Insights for better vendor selection in future purchases.
5.2.	Framework for long-term quality monitoring of school infrastructure.
</v>
          </cell>
          <cell r="AE69"/>
          <cell r="AF69"/>
          <cell r="AG69"/>
        </row>
        <row r="70">
          <cell r="E70" t="str">
            <v>PP00194</v>
          </cell>
          <cell r="F70" t="str">
            <v>Income Based</v>
          </cell>
          <cell r="G70" t="str">
            <v>Nomination</v>
          </cell>
          <cell r="H70">
            <v>63205318</v>
          </cell>
          <cell r="I70" t="str">
            <v>Fully Closed</v>
          </cell>
          <cell r="J70" t="str">
            <v>FSSAI</v>
          </cell>
          <cell r="K70" t="str">
            <v>Food</v>
          </cell>
          <cell r="L70">
            <v>45515</v>
          </cell>
          <cell r="M70">
            <v>45379</v>
          </cell>
          <cell r="N70"/>
          <cell r="O70"/>
          <cell r="P70" t="str">
            <v>Conduct a robust and independent market survey of the overall quality and safety landscape of milk and related 7 milk products (8572 samples) in India across 640 district/cities in India from organized and unorganized sectors.</v>
          </cell>
          <cell r="Q70" t="str">
            <v>TPI/TPA/TPE</v>
          </cell>
          <cell r="R70" t="str">
            <v>Decemeber 2024</v>
          </cell>
          <cell r="S70"/>
          <cell r="T70"/>
          <cell r="U70"/>
          <cell r="V70"/>
          <cell r="W70"/>
          <cell r="X70"/>
          <cell r="Y70"/>
          <cell r="Z70"/>
          <cell r="AA70"/>
          <cell r="AB70"/>
          <cell r="AC70"/>
          <cell r="AD70" t="str">
            <v>Total, 8 milk and milk products with 8572 samples from organized and unorganized sectors were  analyzed on six parameters namely, the general parameters, adulterants, aflatoxin M1, melamine, and in some cases, testing for antibiotic and microbiological. The collected data was analyzed on varied matrices - product, parameter, region, sector wise etc. to check the level of adulterations.</v>
          </cell>
          <cell r="AE70"/>
          <cell r="AF70"/>
          <cell r="AG70"/>
        </row>
        <row r="71">
          <cell r="E71" t="str">
            <v>PP00195</v>
          </cell>
          <cell r="F71" t="str">
            <v>Income Based</v>
          </cell>
          <cell r="G71" t="str">
            <v>Nomination</v>
          </cell>
          <cell r="H71">
            <v>605409</v>
          </cell>
          <cell r="I71" t="str">
            <v>Fully Closed</v>
          </cell>
          <cell r="J71" t="str">
            <v>U.P. State Construction And Infrastructure Development Corporation Limited</v>
          </cell>
          <cell r="K71" t="str">
            <v>Infrastructure</v>
          </cell>
          <cell r="L71">
            <v>45160</v>
          </cell>
          <cell r="M71">
            <v>45192</v>
          </cell>
          <cell r="N71"/>
          <cell r="O71"/>
          <cell r="P71" t="str">
            <v>QCI has been contracted by the U.P. State and Infrastructure Development Corporation Ltd. to perform third-party inspection for the construction and renovation work of Tulsi Smarak Bhawan Ayodhya Shodh Sansthan in Ayodhya district. The objective was to conduct a comprehensive inspection of the construction works undertaken. This includes non-destructive testing, visual examination, verification of Bill of Quantities (BOQ) and drawings in conjunction with the site, as well as verification of Measurement Books (MBs) and Running Account (RA) bills.</v>
          </cell>
          <cell r="Q71" t="str">
            <v>TPI/TPA/TPE</v>
          </cell>
          <cell r="R71">
            <v>45536</v>
          </cell>
          <cell r="S71"/>
          <cell r="T71"/>
          <cell r="U71"/>
          <cell r="V71"/>
          <cell r="W71"/>
          <cell r="X71"/>
          <cell r="Y71"/>
          <cell r="Z71"/>
          <cell r="AA71"/>
          <cell r="AB71"/>
          <cell r="AC71"/>
          <cell r="AD71" t="str">
            <v>QCI has concluded the one time inspection, and a detailed report with all the findings and recommendation has been submitted to the client.</v>
          </cell>
          <cell r="AE71"/>
          <cell r="AF71"/>
          <cell r="AG71"/>
        </row>
        <row r="72">
          <cell r="E72" t="str">
            <v>PP00196</v>
          </cell>
          <cell r="F72" t="str">
            <v>Income Based</v>
          </cell>
          <cell r="G72" t="str">
            <v>Nomination</v>
          </cell>
          <cell r="H72">
            <v>44106366.299999997</v>
          </cell>
          <cell r="I72" t="str">
            <v>Ongoing</v>
          </cell>
          <cell r="J72" t="str">
            <v>U.P. Projects Corporation Ltd.</v>
          </cell>
          <cell r="K72" t="str">
            <v xml:space="preserve">Infrastructure </v>
          </cell>
          <cell r="L72">
            <v>45238</v>
          </cell>
          <cell r="M72">
            <v>46022</v>
          </cell>
          <cell r="N72" t="str">
            <v>-</v>
          </cell>
          <cell r="O72"/>
          <cell r="P72" t="str">
            <v>QCI has been entrusted by the Uttar Pradesh Projects Corporation Limited to perform third-party inspection of construction works executed in the district of Chitrakoot, Meerut, Agra, Hathras, Firozabad, Mainpuri, Aligarh, Etah, Kasganj, Azamgarh, Mau, Pilibhit, Bareilly Mirzapur, Sonbhadra, Ghaziabad, Bhadohi, Varanasi, Prayagraj, Ayodhya, Amethi, Sultanpur, Raebareilly, Sitapur, Lakhimpur, Barabanki, Unnao &amp; Lucknow. The objective is to conduct a comprehensive inspection of the construction works undertaken by UPPCL. This includes non-destructive testing, visual examination, verification of Bill of Quantities (BOQ) and drawings in conjunction with the site, as well as verification of Measurement Books (MBs) and Running Account (RA) bills.</v>
          </cell>
          <cell r="Q72" t="str">
            <v>TPI/TPA/TPE</v>
          </cell>
          <cell r="R72">
            <v>45901</v>
          </cell>
          <cell r="S72">
            <v>9</v>
          </cell>
          <cell r="T72">
            <v>9</v>
          </cell>
          <cell r="U72"/>
          <cell r="V72" t="str">
            <v>On Schedule</v>
          </cell>
          <cell r="W72"/>
          <cell r="X72" t="str">
            <v>Within Budget</v>
          </cell>
          <cell r="Y72"/>
          <cell r="Z72" t="str">
            <v>Yes</v>
          </cell>
          <cell r="AA72"/>
          <cell r="AB72" t="str">
            <v>All deliverables met</v>
          </cell>
          <cell r="AC72"/>
          <cell r="AD72" t="str">
            <v>So far, QCI has conducted more than 300 site inspections in the state of Uttar Pradesh since the inception of the project.</v>
          </cell>
          <cell r="AE72" t="str">
            <v xml:space="preserve">Periodic site visits for inspections at multiple districts in Uttar Pradesh </v>
          </cell>
          <cell r="AF72"/>
          <cell r="AG72"/>
        </row>
        <row r="73">
          <cell r="E73" t="str">
            <v>PP00197</v>
          </cell>
          <cell r="F73" t="str">
            <v>Income Based</v>
          </cell>
          <cell r="G73" t="str">
            <v>Nomination</v>
          </cell>
          <cell r="H73">
            <v>7500000</v>
          </cell>
          <cell r="I73" t="str">
            <v>Completed</v>
          </cell>
          <cell r="J73" t="str">
            <v xml:space="preserve">Lanco Amarkantak </v>
          </cell>
          <cell r="K73" t="str">
            <v>Coal</v>
          </cell>
          <cell r="L73">
            <v>45146</v>
          </cell>
          <cell r="M73">
            <v>45626</v>
          </cell>
          <cell r="N73"/>
          <cell r="O73"/>
          <cell r="P73" t="str">
            <v xml:space="preserve">Lanco Amarkantak Power Limited has awarded work to Quality Council of India for carrying out sampling and analysis of indigenous  and import coal at their unloading end. </v>
          </cell>
          <cell r="Q73" t="str">
            <v>TPI/TPA/TPE</v>
          </cell>
          <cell r="R73" t="str">
            <v>April'25</v>
          </cell>
          <cell r="S73"/>
          <cell r="T73"/>
          <cell r="U73"/>
          <cell r="V73" t="str">
            <v>On Schedule</v>
          </cell>
          <cell r="W73"/>
          <cell r="X73" t="str">
            <v>Within Budget</v>
          </cell>
          <cell r="Y73"/>
          <cell r="Z73" t="str">
            <v>Yes</v>
          </cell>
          <cell r="AA73" t="str">
            <v>Payments pending for the month of Nov'24</v>
          </cell>
          <cell r="AB73" t="str">
            <v>All deliverables met</v>
          </cell>
          <cell r="AC73"/>
          <cell r="AD73" t="str">
            <v>A total volume of 1.503 Million Metric Tonnes of Coal has been sampled since the inception.</v>
          </cell>
          <cell r="AE73"/>
          <cell r="AF73" t="str">
            <v>To get the pending payments clear</v>
          </cell>
          <cell r="AG73"/>
        </row>
        <row r="74">
          <cell r="E74" t="str">
            <v>PP00198</v>
          </cell>
          <cell r="F74" t="str">
            <v>Income Based</v>
          </cell>
          <cell r="G74" t="str">
            <v>Tender</v>
          </cell>
          <cell r="H74">
            <v>2627117.7999999998</v>
          </cell>
          <cell r="I74" t="str">
            <v>Ongoing</v>
          </cell>
          <cell r="J74" t="str">
            <v>Govt. of Himachal Pradesh</v>
          </cell>
          <cell r="K74" t="str">
            <v xml:space="preserve">Infrastructure </v>
          </cell>
          <cell r="L74">
            <v>45269</v>
          </cell>
          <cell r="M74">
            <v>46002</v>
          </cell>
          <cell r="N74">
            <v>46203</v>
          </cell>
          <cell r="O74"/>
          <cell r="P74" t="str">
            <v>Quality Council of India bagged the tender from central university through Central Public Procurement Portal for TPI of Construction of South Campus of Central University of Himachal pradesh. TPI of the following has to be completed under the project:
1. Administrative Blocks (1 + 1 Nos.), Lecture Halls (1 + 1 Nos.) Academic Blocks (4 + 5 Nos.)
2. Hostel Blocks (6 + 5 Nos.: Boys/ Girls/ International)
3. Multi-Purpose Hall (1 + 1 Nos.), Guest House (1 + 1 Nos.)
4. Shopping Arcades, Amenities, Health Centers (l + 2 Nos.)
5. Staff Residences (59 + 59 Nos. type - III to VI &amp; VC Residence)
6. Service Blocks (1 + 1 Nos.) including External Development Work, Internal and External
7. Civil, Electrical &amp; Mechanical Services on EPC (Mode - I) Basis</v>
          </cell>
          <cell r="Q74" t="str">
            <v>TPI/TPA/TPE</v>
          </cell>
          <cell r="R74">
            <v>45778</v>
          </cell>
          <cell r="S74">
            <v>1</v>
          </cell>
          <cell r="T74">
            <v>1</v>
          </cell>
          <cell r="U74"/>
          <cell r="V74" t="str">
            <v>On Schedule</v>
          </cell>
          <cell r="W74"/>
          <cell r="X74" t="str">
            <v>Within Budget</v>
          </cell>
          <cell r="Y74"/>
          <cell r="Z74" t="str">
            <v>No</v>
          </cell>
          <cell r="AA74"/>
          <cell r="AB74" t="str">
            <v>All deliverables met</v>
          </cell>
          <cell r="AC74"/>
          <cell r="AD74" t="str">
            <v xml:space="preserve">QCI is conducting the technical audits of the university in accordance with the CPWD and NBC guidelines. Six visits to the Central University Campus have been concluded and Inspection Reports have also been submitted. More visits are expected in the coming months. </v>
          </cell>
          <cell r="AE74" t="str">
            <v>Site inspection report will be submitted to the client .</v>
          </cell>
          <cell r="AF74"/>
          <cell r="AG74"/>
        </row>
        <row r="75">
          <cell r="E75" t="str">
            <v>PP00199</v>
          </cell>
          <cell r="F75" t="str">
            <v>Income Based</v>
          </cell>
          <cell r="G75" t="str">
            <v>Nomination</v>
          </cell>
          <cell r="H75">
            <v>10980480</v>
          </cell>
          <cell r="I75" t="str">
            <v>Completed</v>
          </cell>
          <cell r="J75" t="str">
            <v>Ministry of Consumer Affairs, Food and Public Distribution</v>
          </cell>
          <cell r="K75" t="str">
            <v>Surveillance</v>
          </cell>
          <cell r="L75">
            <v>45145</v>
          </cell>
          <cell r="M75">
            <v>45388</v>
          </cell>
          <cell r="N75" t="str">
            <v>Work order extension awaited</v>
          </cell>
          <cell r="O75" t="str">
            <v>(1) The project was further extended for 6 months till 6th October 2024 due to multiple delays in internal approvals within CWC. The scope of work was updated to extend timeline. 
(2) Currently, due to delays in CCTV installation by the System Integrator (RailTel) and the need for additional costs from CWC to engage the QCI team, QCI has been temporarily disengaged from the project as of October 9, 2024. 
(3) QCI services are expected to resume for the final milestone (M5) tentatively in February-March 2025, depending upon the completion of installation at the warehouses by M/s RailTel  (SI).</v>
          </cell>
          <cell r="P75" t="str">
            <v>PMC/ PMU appointed to improve the security and transparency in CWC Warehouses through implementation of a modern Video Surveillance System (CCTV/ IoT Sensors) for ~231 foodgrain warehouses PAN India.</v>
          </cell>
          <cell r="Q75" t="str">
            <v>TPI/TPA/TPE</v>
          </cell>
          <cell r="R75">
            <v>45559</v>
          </cell>
          <cell r="S75"/>
          <cell r="T75"/>
          <cell r="U75" t="str">
            <v>All team members have been released due to temporary disengagement from the project.</v>
          </cell>
          <cell r="V75" t="str">
            <v>Behind Schedule</v>
          </cell>
          <cell r="W75" t="str">
            <v>QCI has been unable to conduct on-ground surveys, for the completion of final milestone (M5), due to delays in the completion of installations at the warehouses by the Systems Integrator (RailTel).</v>
          </cell>
          <cell r="X75" t="str">
            <v>Within Budget</v>
          </cell>
          <cell r="Y75" t="str">
            <v>N/A</v>
          </cell>
          <cell r="Z75" t="str">
            <v>Yes</v>
          </cell>
          <cell r="AA75" t="str">
            <v>N/A</v>
          </cell>
          <cell r="AB75" t="str">
            <v>Some deliverables met</v>
          </cell>
          <cell r="AC75" t="str">
            <v>QCI has been unable to conduct on-ground surveys, for the completion of final milestone (M5), due to delays in the completion of installations at the warehouses by the Systems Integrator (RailTel).</v>
          </cell>
          <cell r="AD75" t="str">
            <v>QCI has successfully completed four (04) out of five  (05) milestones which includes creation and approval of BOQ, DPR, RFP for installation of Modern Video Surveillance Project, tender evaluation and onboarding of RailTel as System Integrator for the project. Further, QCI created Power Bi dashboard and Master Tracker to track the deliverables of System Integrator (RailTel).</v>
          </cell>
          <cell r="AE75" t="str">
            <v xml:space="preserve">None; QCI will resume its services depending upon the completion of installation at warehouses by RailTel (SI). </v>
          </cell>
          <cell r="AF75"/>
          <cell r="AG75" t="str">
            <v>Final Milestone (M5) being delayed due to delay in installation of CCTV at warehouses by M/s RailTel (System Integrator)</v>
          </cell>
        </row>
        <row r="76">
          <cell r="E76" t="str">
            <v>PP00200</v>
          </cell>
          <cell r="F76" t="str">
            <v>Income Based</v>
          </cell>
          <cell r="G76" t="str">
            <v>Tender</v>
          </cell>
          <cell r="H76">
            <v>7109047.3700000001</v>
          </cell>
          <cell r="I76" t="str">
            <v>Completed</v>
          </cell>
          <cell r="J76" t="str">
            <v>NBCC</v>
          </cell>
          <cell r="K76" t="str">
            <v xml:space="preserve">Infrastructure </v>
          </cell>
          <cell r="L76">
            <v>45226</v>
          </cell>
          <cell r="M76">
            <v>45716</v>
          </cell>
          <cell r="N76"/>
          <cell r="O76" t="str">
            <v>Final payment pending from the client</v>
          </cell>
          <cell r="P76" t="str">
            <v>Quality assurances for Civil structures, materials and workmanship of civil, plumbing, electrical, mechanical, MEP, external development and all other allied works required to complete the project at appropriate stages of construction. Responsibility includes highlighting the problem area, if any, and suggesting step /solution for the same to achieve the overall target of quality assurance. Testing (field and laboratory) of materials at site laboratory or outside laboratory will be carried out by QCI as per recommendations of QCI or as per the frequency defined in CPWD, BIS codes &amp; approved by NBCC.</v>
          </cell>
          <cell r="Q76" t="str">
            <v>TPI/TPA/TPE</v>
          </cell>
          <cell r="R76">
            <v>45809</v>
          </cell>
          <cell r="S76">
            <v>0</v>
          </cell>
          <cell r="T76">
            <v>0</v>
          </cell>
          <cell r="U76"/>
          <cell r="V76" t="str">
            <v>On Schedule</v>
          </cell>
          <cell r="W76"/>
          <cell r="X76" t="str">
            <v>Within Budget</v>
          </cell>
          <cell r="Y76"/>
          <cell r="Z76" t="str">
            <v>Yes</v>
          </cell>
          <cell r="AA76" t="str">
            <v>Project completed, Invoices will be raised once client accepts the draft format.</v>
          </cell>
          <cell r="AB76" t="str">
            <v>All deliverables met</v>
          </cell>
          <cell r="AC76"/>
          <cell r="AD76" t="str">
            <v>QCI deployed manpower at the site to supervise the ongoing construction 4 Residential Towers of G + 10 floors, 01 Sewage Treatment plant and 01 Multi-purpose hall in the complex.</v>
          </cell>
          <cell r="AE76"/>
          <cell r="AF76"/>
          <cell r="AG76" t="str">
            <v>The client is very non-supportive in acceptance of inspection report. Also, the project was pre-closed due to fund crisis.</v>
          </cell>
        </row>
        <row r="77">
          <cell r="E77" t="str">
            <v>PP00201</v>
          </cell>
          <cell r="F77" t="str">
            <v>Income Based</v>
          </cell>
          <cell r="G77" t="str">
            <v>Nomination</v>
          </cell>
          <cell r="H77">
            <v>485595</v>
          </cell>
          <cell r="I77" t="str">
            <v>Fully Closed</v>
          </cell>
          <cell r="J77" t="str">
            <v>U.P. State Construction And Infrastructure Development Corporation Limited</v>
          </cell>
          <cell r="K77" t="str">
            <v>Infrastructure</v>
          </cell>
          <cell r="L77">
            <v>44995</v>
          </cell>
          <cell r="M77">
            <v>45230</v>
          </cell>
          <cell r="N77"/>
          <cell r="O77"/>
          <cell r="P77" t="str">
            <v>QCI has been contracted by the U.P. State and Infrastructure Development Corporation Ltd. to perform third-party inspection for the construction work of Baharat Ratna Shri Atal Bihari Bajpai Sanskritik Sankul kendra at Bateshwar, Bah, Agra (U.P). The objective was to conduct a comprehensive inspection of the construction works undertaken. This includes non-destructive testing, visual examination, verification of Bill of Quantities (BOQ) and drawings in conjunction with the site, as well as verification of Measurement Books (MBs) and Running Account (RA) bills.</v>
          </cell>
          <cell r="Q77" t="str">
            <v>TPI/TPA/TPE</v>
          </cell>
          <cell r="R77">
            <v>45536</v>
          </cell>
          <cell r="S77"/>
          <cell r="T77"/>
          <cell r="U77"/>
          <cell r="V77"/>
          <cell r="W77"/>
          <cell r="X77"/>
          <cell r="Y77"/>
          <cell r="Z77"/>
          <cell r="AA77"/>
          <cell r="AB77"/>
          <cell r="AC77"/>
          <cell r="AD77" t="str">
            <v>QCI has concluded the one time inspection, and a detailed report with all the findings and recommendation has been submitted to the client.</v>
          </cell>
          <cell r="AE77"/>
          <cell r="AF77"/>
          <cell r="AG77"/>
        </row>
        <row r="78">
          <cell r="E78" t="str">
            <v>PP00202</v>
          </cell>
          <cell r="F78" t="str">
            <v>Income Based</v>
          </cell>
          <cell r="G78" t="str">
            <v>Nomination</v>
          </cell>
          <cell r="H78">
            <v>1400000</v>
          </cell>
          <cell r="I78" t="str">
            <v>Fully Closed</v>
          </cell>
          <cell r="J78" t="str">
            <v>Project Implementation Unit (PIU), PWD Thuligad Tanakpur</v>
          </cell>
          <cell r="K78" t="str">
            <v>Infrastructure</v>
          </cell>
          <cell r="L78">
            <v>45182</v>
          </cell>
          <cell r="M78">
            <v>45567</v>
          </cell>
          <cell r="N78"/>
          <cell r="O78"/>
          <cell r="P78" t="str">
            <v xml:space="preserve">QCI was entrusted to conduct TPI and quality testing of Tanakpur Jauljibi 2 lane motor road from chainage 30.600 KM to 55.000 KM constructed by P.I.U. Thuligarh, P.W.D., Tanakpur, Uttarakhand. The TPI included visual inspection of roads along with relevant quality tests to evaluate the quality of the roads. </v>
          </cell>
          <cell r="Q78" t="str">
            <v>TPI/TPA/TPE</v>
          </cell>
          <cell r="R78">
            <v>45536</v>
          </cell>
          <cell r="S78"/>
          <cell r="T78"/>
          <cell r="U78"/>
          <cell r="V78"/>
          <cell r="W78"/>
          <cell r="X78"/>
          <cell r="Y78"/>
          <cell r="Z78"/>
          <cell r="AA78"/>
          <cell r="AB78"/>
          <cell r="AC78"/>
          <cell r="AD78" t="str">
            <v xml:space="preserve">A consolidated reports of test results, general observations, defects &amp; deficiencies on the roads with recommendations was submitted to the client. </v>
          </cell>
          <cell r="AE78"/>
          <cell r="AF78"/>
          <cell r="AG78"/>
        </row>
        <row r="79">
          <cell r="E79" t="str">
            <v>PP00203</v>
          </cell>
          <cell r="F79" t="str">
            <v>Income Based</v>
          </cell>
          <cell r="G79" t="str">
            <v>Tender</v>
          </cell>
          <cell r="H79">
            <v>18166400</v>
          </cell>
          <cell r="I79" t="str">
            <v>Ongoing</v>
          </cell>
          <cell r="J79" t="str">
            <v>Uttar pradesh</v>
          </cell>
          <cell r="K79" t="str">
            <v>Infrastructure</v>
          </cell>
          <cell r="L79">
            <v>45187</v>
          </cell>
          <cell r="M79">
            <v>45918</v>
          </cell>
          <cell r="N79"/>
          <cell r="O79"/>
          <cell r="P79" t="str">
            <v xml:space="preserve">QCI has been entrusted by SSCL to conduct Third Party Inspections (TPI) of the works implemented under Saharanpur Smart city Limited with following scope of work:
1. Third Party inspection of buildings ranging from pumping stations, parking lots etc.
2. Third party inspection of roads and RCC pavements.
3. Third party inspection of bridges.
4. Third party of the miscellaneous developments works in the city of Saharanpur.
</v>
          </cell>
          <cell r="Q79" t="str">
            <v>TPI/TPA/TPE</v>
          </cell>
          <cell r="R79">
            <v>45809</v>
          </cell>
          <cell r="S79">
            <v>3</v>
          </cell>
          <cell r="T79">
            <v>3</v>
          </cell>
          <cell r="U79"/>
          <cell r="V79" t="str">
            <v>On Schedule</v>
          </cell>
          <cell r="W79"/>
          <cell r="X79" t="str">
            <v>Within Budget</v>
          </cell>
          <cell r="Y79"/>
          <cell r="Z79" t="str">
            <v>Yes</v>
          </cell>
          <cell r="AA79"/>
          <cell r="AB79" t="str">
            <v>All deliverables met</v>
          </cell>
          <cell r="AC79"/>
          <cell r="AD79" t="str">
            <v>All 52 works listed in the contract have been visited more than once.</v>
          </cell>
          <cell r="AE79" t="str">
            <v>2 more visits planned for the next month</v>
          </cell>
          <cell r="AF79"/>
          <cell r="AG79" t="str">
            <v>The initiation of project was challenging initially.</v>
          </cell>
        </row>
        <row r="80">
          <cell r="E80" t="str">
            <v>PP00204</v>
          </cell>
          <cell r="F80" t="str">
            <v>Income Based</v>
          </cell>
          <cell r="G80" t="str">
            <v>Nomination</v>
          </cell>
          <cell r="H80">
            <v>28000000</v>
          </cell>
          <cell r="I80" t="str">
            <v>Fully Closed</v>
          </cell>
          <cell r="J80" t="str">
            <v>RRVUNL</v>
          </cell>
          <cell r="K80" t="str">
            <v>Coal</v>
          </cell>
          <cell r="L80">
            <v>45241</v>
          </cell>
          <cell r="M80">
            <v>45568</v>
          </cell>
          <cell r="N80"/>
          <cell r="O80"/>
          <cell r="P80" t="str">
            <v xml:space="preserve">RRVUNL has awarded work to Quality Council of India for carrying out sampling and analysis of indigenous coal at their plant end. </v>
          </cell>
          <cell r="Q80" t="str">
            <v>TPI/TPA/TPE</v>
          </cell>
          <cell r="R80" t="str">
            <v>April'25</v>
          </cell>
          <cell r="S80"/>
          <cell r="T80"/>
          <cell r="U80"/>
          <cell r="V80" t="str">
            <v>On Schedule</v>
          </cell>
          <cell r="W80"/>
          <cell r="X80" t="str">
            <v>Within Budget</v>
          </cell>
          <cell r="Y80"/>
          <cell r="Z80" t="str">
            <v>Yes</v>
          </cell>
          <cell r="AA80" t="str">
            <v>All payments are cleraed</v>
          </cell>
          <cell r="AB80" t="str">
            <v>All deliverables met</v>
          </cell>
          <cell r="AC80"/>
          <cell r="AD80" t="str">
            <v>A total volume of 7 Million Metric Tonnes of Coal has been sampled since the inception.</v>
          </cell>
          <cell r="AE80"/>
          <cell r="AF80"/>
          <cell r="AG80"/>
        </row>
        <row r="81">
          <cell r="E81" t="str">
            <v>PP00205</v>
          </cell>
          <cell r="F81" t="str">
            <v>Income Based</v>
          </cell>
          <cell r="G81" t="str">
            <v>Nomination</v>
          </cell>
          <cell r="H81">
            <v>1500000</v>
          </cell>
          <cell r="I81" t="str">
            <v>Fully Closed</v>
          </cell>
          <cell r="J81" t="str">
            <v>PHED, Govt. of Haryana</v>
          </cell>
          <cell r="K81" t="str">
            <v>Water</v>
          </cell>
          <cell r="L81">
            <v>44968</v>
          </cell>
          <cell r="M81">
            <v>45443</v>
          </cell>
          <cell r="N81"/>
          <cell r="O81"/>
          <cell r="P81" t="str">
            <v>QCI has been contracted for setting up Project Management Unit (PMU) by PHED, Haryana on a chargeable basis to support activities under JJM for a tenure of 12 months from December 2023 to December 2024. The resource person shall be assigned tasks related to vetting of DPR and document assessment for PHED, Haryana including preparation of DPR, preparation of drawings, cost estimation, rate analysis, design specifications, HT&amp;LT panels and motors, etc. However, the resource has left QCI in May 2024 and until a new resource is provided to the client, this project is considered completed.</v>
          </cell>
          <cell r="Q81" t="str">
            <v>PMU/PMC</v>
          </cell>
          <cell r="R81">
            <v>45627</v>
          </cell>
          <cell r="S81"/>
          <cell r="T81"/>
          <cell r="U81"/>
          <cell r="V81" t="str">
            <v>On Schedule</v>
          </cell>
          <cell r="W81"/>
          <cell r="X81" t="str">
            <v>Within Budget</v>
          </cell>
          <cell r="Y81"/>
          <cell r="Z81" t="str">
            <v>Yes</v>
          </cell>
          <cell r="AA81"/>
          <cell r="AB81" t="str">
            <v>All deliverables met</v>
          </cell>
          <cell r="AC81"/>
          <cell r="AD81" t="str">
            <v xml:space="preserve">QCI has been contracted for setting up Project Management Unit (PMU) by PHED, Haryana on a chargeable basis to support activities under JJM for a tenure of 12 months. The resource person shall be assigned the tasks related to vetting of DPR and document assessment for PHED, Haryana including preparation of DPR, preparation of drawings, cost estimation, rate analysis, design specifications, HT&amp;LT panels and motors, etc. </v>
          </cell>
          <cell r="AE81"/>
          <cell r="AF81"/>
          <cell r="AG81"/>
        </row>
        <row r="82">
          <cell r="E82" t="str">
            <v>PP00206</v>
          </cell>
          <cell r="F82" t="str">
            <v>Income Based</v>
          </cell>
          <cell r="G82" t="str">
            <v>Nomination</v>
          </cell>
          <cell r="H82" t="str">
            <v xml:space="preserve">₹ 58,93,449
</v>
          </cell>
          <cell r="I82" t="str">
            <v>Completed</v>
          </cell>
          <cell r="J82" t="str">
            <v>National Horticulture Board, Ministry of Agriculture &amp; Farmers Welfare, GoI</v>
          </cell>
          <cell r="K82" t="str">
            <v>Horticulture</v>
          </cell>
          <cell r="L82">
            <v>45245</v>
          </cell>
          <cell r="M82">
            <v>45504</v>
          </cell>
          <cell r="N82">
            <v>45747</v>
          </cell>
          <cell r="O82"/>
          <cell r="P82" t="str">
            <v>To align with the objectives of the schemes of National Horticulture Board (NHB), QCI has been entrusted to conduct a Pan-India Third Party Evaluation of the NHB Scheme-I &amp; II for the FY 2019-20 to 2022-23 and FY 2023-24 in 2nd phase. Assessment of schemes I &amp; II of NHB, where first scheme is for development of Commercial Horticulture through Production and Post-Harvest Management of Horticulture Crops, and second scheme is for subsidy against Capital Investment Scheme for Construction / Expansion / Modernization of Cold Storages and Storages for Horticulture Products.</v>
          </cell>
          <cell r="Q82" t="str">
            <v>TPI/TPA/TPE</v>
          </cell>
          <cell r="R82">
            <v>45930</v>
          </cell>
          <cell r="S82">
            <v>0</v>
          </cell>
          <cell r="T82">
            <v>0</v>
          </cell>
          <cell r="U82" t="str">
            <v>NA</v>
          </cell>
          <cell r="V82" t="str">
            <v>On Schedule</v>
          </cell>
          <cell r="W82"/>
          <cell r="X82" t="str">
            <v>Within Budget</v>
          </cell>
          <cell r="Y82"/>
          <cell r="Z82" t="str">
            <v>Yes</v>
          </cell>
          <cell r="AA82"/>
          <cell r="AB82" t="str">
            <v>All deliverables met</v>
          </cell>
          <cell r="AC82"/>
          <cell r="AD82" t="str">
            <v>QCI has evaluated 432 Projects under phase I (FY 2019-20 to 2022-23) &amp; 108 projects under phase II (FY 2023-24) throughout the country. Both phase completed and assessment reports of 1st phase was accepeted and 2nd phase was under consideration. 
100% Payment for 1st phase was received and 100% invoices for 2nd phase was submitted to client.</v>
          </cell>
          <cell r="AE82" t="str">
            <v>Not Applicable</v>
          </cell>
          <cell r="AF82"/>
          <cell r="AG82"/>
        </row>
        <row r="83">
          <cell r="E83" t="str">
            <v>PP00207</v>
          </cell>
          <cell r="F83" t="str">
            <v>Income Based</v>
          </cell>
          <cell r="G83" t="str">
            <v>Tender</v>
          </cell>
          <cell r="H83">
            <v>3722213.67</v>
          </cell>
          <cell r="I83" t="str">
            <v>Ongoing</v>
          </cell>
          <cell r="J83" t="str">
            <v>Administration of Lakshadweep</v>
          </cell>
          <cell r="K83" t="str">
            <v>Infrastructure, Water Supply</v>
          </cell>
          <cell r="L83">
            <v>45275</v>
          </cell>
          <cell r="M83">
            <v>46006</v>
          </cell>
          <cell r="N83"/>
          <cell r="O83"/>
          <cell r="P83" t="str">
            <v xml:space="preserve">Quality Council of India was envisioned for GoI's flagship in Jal Jeevan Mission in the UT of Lakshadweep to provide Third Party Inspection of schemes. QCI was given the responsibility of checking the quality of work executed by the agencies in Lakshadweep, quality of material used for construction and quality of machinery installed in each of scheme across all the islands of Lakshadweep where JJM works are in progress
In addition, carrying out inspection of all engineering works relating to civil, mechanical and electrical components executed under the schemes of JJM and providing reports containing the regular updates and progress of the overall schemes on inspection basis is provided to the Superintending Engineer, Lakshadweep Public
</v>
          </cell>
          <cell r="Q83" t="str">
            <v>TPI/TPA/TPE</v>
          </cell>
          <cell r="R83">
            <v>45809</v>
          </cell>
          <cell r="S83">
            <v>1</v>
          </cell>
          <cell r="T83">
            <v>0</v>
          </cell>
          <cell r="U83" t="str">
            <v>Project Budgeting</v>
          </cell>
          <cell r="V83" t="str">
            <v>Behind Schedule</v>
          </cell>
          <cell r="W83" t="str">
            <v>The project is currently facing a funding shortfall as disbursement from the Ministry has been suspended due to concerns raised over integrity issues within the project</v>
          </cell>
          <cell r="X83" t="str">
            <v>Over Budget</v>
          </cell>
          <cell r="Y83" t="str">
            <v>Invoice submission was delayed due to the client's ongoing fund constraints</v>
          </cell>
          <cell r="Z83" t="str">
            <v>Yes</v>
          </cell>
          <cell r="AA83"/>
          <cell r="AB83" t="str">
            <v>All deliverables met</v>
          </cell>
          <cell r="AC83"/>
          <cell r="AD83" t="str">
            <v>QCI has conducted visits for inspection of water supply network in 10 inhabited islands of Lakshadweep.</v>
          </cell>
          <cell r="AE83" t="str">
            <v>Site inspection planned for this month</v>
          </cell>
          <cell r="AF83"/>
          <cell r="AG83" t="str">
            <v>The distance of inspection sites from mainland is very large and scheduling of inspection visit is challenging at times</v>
          </cell>
        </row>
        <row r="84">
          <cell r="E84" t="str">
            <v>PP00208</v>
          </cell>
          <cell r="F84" t="str">
            <v>Income Based</v>
          </cell>
          <cell r="G84" t="str">
            <v>Nomination</v>
          </cell>
          <cell r="H84">
            <v>9718800</v>
          </cell>
          <cell r="I84" t="str">
            <v>Fully Closed</v>
          </cell>
          <cell r="J84" t="str">
            <v>MoRTH</v>
          </cell>
          <cell r="K84" t="str">
            <v xml:space="preserve">Infrastructure </v>
          </cell>
          <cell r="L84">
            <v>45246</v>
          </cell>
          <cell r="M84">
            <v>45535</v>
          </cell>
          <cell r="N84">
            <v>45443</v>
          </cell>
          <cell r="O84" t="str">
            <v xml:space="preserve">Received Final payment and report has been submitted </v>
          </cell>
          <cell r="P84" t="str">
            <v>For the sixth consecutive award cycle, QCI has been entrusted with the responsibility of conducting end to end process of National Highways Excellence Awards.</v>
          </cell>
          <cell r="Q84" t="str">
            <v>Assessment of National Highways</v>
          </cell>
          <cell r="R84">
            <v>45778</v>
          </cell>
          <cell r="S84">
            <v>0</v>
          </cell>
          <cell r="T84"/>
          <cell r="U84"/>
          <cell r="V84" t="str">
            <v>On Schedule</v>
          </cell>
          <cell r="W84"/>
          <cell r="X84" t="str">
            <v>Within Budget</v>
          </cell>
          <cell r="Y84"/>
          <cell r="Z84" t="str">
            <v>Yes</v>
          </cell>
          <cell r="AA84"/>
          <cell r="AB84" t="str">
            <v>All deliverables met</v>
          </cell>
          <cell r="AC84"/>
          <cell r="AD84" t="str">
            <v>Mechanism to recognize and award companies for the best-performing road assets across the country has been developed. Screening and validation committee meeting, to shortlist projects for the field assessment has been conducted. QCI has concluded field assessment and screening committee meeting for Field Assessment. The jury round and shortlisting of winners for NHEA 2023 has also been done and the final main event in the month of April 2025.</v>
          </cell>
          <cell r="AE84"/>
          <cell r="AF84"/>
          <cell r="AG84"/>
        </row>
        <row r="85">
          <cell r="E85" t="str">
            <v>PP00209</v>
          </cell>
          <cell r="F85" t="str">
            <v>Income Based</v>
          </cell>
          <cell r="G85" t="str">
            <v>Nomination</v>
          </cell>
          <cell r="H85">
            <v>3114608</v>
          </cell>
          <cell r="I85" t="str">
            <v>Fully Closed</v>
          </cell>
          <cell r="J85" t="str">
            <v>Construction &amp; Design Services U.P. Jal Nigam</v>
          </cell>
          <cell r="K85" t="str">
            <v xml:space="preserve">Infrastructure </v>
          </cell>
          <cell r="L85">
            <v>45248</v>
          </cell>
          <cell r="M85">
            <v>45808</v>
          </cell>
          <cell r="N85"/>
          <cell r="O85"/>
          <cell r="P85" t="str">
            <v xml:space="preserve">Conducting third party inspection of College of Agriculture and Technology at B.U.A.T Banda. The objective is to conduct a one-time structural stability analysis of the existing structures, visual inspections and perform a non-destructive test throughout the construction phase of the project in order to assess the quality of the existing and ongoing works. A total of 9 site visits shall be made by QCI during the construction period. </v>
          </cell>
          <cell r="Q85" t="str">
            <v>TPI/TPA/TPE</v>
          </cell>
          <cell r="R85">
            <v>45717</v>
          </cell>
          <cell r="S85">
            <v>0</v>
          </cell>
          <cell r="T85"/>
          <cell r="U85"/>
          <cell r="V85" t="str">
            <v>On Schedule</v>
          </cell>
          <cell r="W85"/>
          <cell r="X85" t="str">
            <v>Within Budget</v>
          </cell>
          <cell r="Y85"/>
          <cell r="Z85" t="str">
            <v>Yes</v>
          </cell>
          <cell r="AA85"/>
          <cell r="AB85" t="str">
            <v>All deliverables met</v>
          </cell>
          <cell r="AC85"/>
          <cell r="AD85" t="str">
            <v>So far, QCI has conducted first site visit and a detailed report consisting of general observations, defects &amp; deficiencies, structural stability analysis along with recommendations has been submitted to the client.</v>
          </cell>
          <cell r="AE85"/>
          <cell r="AF85"/>
          <cell r="AG85"/>
        </row>
        <row r="86">
          <cell r="E86" t="str">
            <v>PP00210</v>
          </cell>
          <cell r="F86" t="str">
            <v>Income Based</v>
          </cell>
          <cell r="G86" t="str">
            <v>Nomination</v>
          </cell>
          <cell r="H86">
            <v>57456000</v>
          </cell>
          <cell r="I86" t="str">
            <v>Ongoing</v>
          </cell>
          <cell r="J86" t="str">
            <v>Ministry of Housing and Urban Affairs (MoHUA)</v>
          </cell>
          <cell r="K86" t="str">
            <v>Digital Infrastructure &amp; Governance</v>
          </cell>
          <cell r="L86">
            <v>45250</v>
          </cell>
          <cell r="M86">
            <v>45473</v>
          </cell>
          <cell r="N86">
            <v>45747</v>
          </cell>
          <cell r="O86"/>
          <cell r="P86" t="str">
            <v>To advance the goals of the Smart Cities framework and facilitate the effective functioning of Integrated Command and Control Centres (ICCCs), it is crucial for cities to adopt technology integration and implement digital resources. An independent assessment is therefore being planned to be conducted by engaging QCI in line with the 10 pillars outlined in the ICCC Maturity Assessment Framework (IMAF 2.0) to evaluate the efforts being made by cities to improve the efficiency and management of their ICCC operations and Impact of Use cases of ICCC in 100 Smart Cities</v>
          </cell>
          <cell r="Q86" t="str">
            <v>TPI/TPA/TPE</v>
          </cell>
          <cell r="R86" t="str">
            <v>September 2, 2025</v>
          </cell>
          <cell r="S86">
            <v>0</v>
          </cell>
          <cell r="T86"/>
          <cell r="U86"/>
          <cell r="V86" t="str">
            <v>On Schedule</v>
          </cell>
          <cell r="W86"/>
          <cell r="X86" t="str">
            <v>Within Budget</v>
          </cell>
          <cell r="Y86"/>
          <cell r="Z86" t="str">
            <v>Yes</v>
          </cell>
          <cell r="AA86" t="str">
            <v>All payment received</v>
          </cell>
          <cell r="AB86" t="str">
            <v>All deliverables met</v>
          </cell>
          <cell r="AC86"/>
          <cell r="AD86" t="str">
            <v>Currently, QCI has completed and submitted:
a. A detailed plan of action
b. An inception report containing findings from the pilot conducted in Chandigarh Smart City ICCC
c. Completed the on-ground assessment for cycle 1, covering 100 Smart cities and submitted the reports of the same.
d. Completed the on-ground assessment of Cycle 2.
e. On-ground visit of in-house team for better understanding of ICCC issues
Overall, QCI has improved management of operational ICCC and Use Case administration, leading to enhanced citizen experiences and functionality within the ICCC.</v>
          </cell>
          <cell r="AE86"/>
          <cell r="AF86"/>
          <cell r="AG86"/>
        </row>
        <row r="87">
          <cell r="E87" t="str">
            <v>PP00211</v>
          </cell>
          <cell r="F87" t="str">
            <v>Income Based</v>
          </cell>
          <cell r="G87" t="str">
            <v>Nomination</v>
          </cell>
          <cell r="H87">
            <v>3677260</v>
          </cell>
          <cell r="I87" t="str">
            <v>Completed</v>
          </cell>
          <cell r="J87" t="str">
            <v>Department of Education-AP</v>
          </cell>
          <cell r="K87" t="str">
            <v>Education</v>
          </cell>
          <cell r="L87">
            <v>45260</v>
          </cell>
          <cell r="M87">
            <v>45292</v>
          </cell>
          <cell r="N87"/>
          <cell r="O87"/>
          <cell r="P87" t="str">
            <v>Recognizing the critical importance of reliable educational data, the Government of Andhra Pradesh (GoAP) has highlighted the necessity for a comprehensive study to validate and ensure the accuracy of educational statistics in Nandyal district.</v>
          </cell>
          <cell r="Q87" t="str">
            <v>No</v>
          </cell>
          <cell r="R87">
            <v>45536</v>
          </cell>
          <cell r="S87">
            <v>0</v>
          </cell>
          <cell r="T87"/>
          <cell r="U87"/>
          <cell r="V87" t="str">
            <v>On Schedule</v>
          </cell>
          <cell r="W87"/>
          <cell r="X87" t="str">
            <v>Within Budget</v>
          </cell>
          <cell r="Y87"/>
          <cell r="Z87" t="str">
            <v>Yes</v>
          </cell>
          <cell r="AA87" t="str">
            <v>There is a delay in processing invoices due to the change in the Andhra Pradesh government.</v>
          </cell>
          <cell r="AB87" t="str">
            <v>All deliverables met</v>
          </cell>
          <cell r="AC87"/>
          <cell r="AD87" t="str">
            <v>1. A total of 6,428 unique households were surveyed with 1,053 non-responsive cases and 116 migration cases.
2. 1,498 no. of students were not mapped on SI portal but are on GSWS
3. 61 no. of students enrolled on SI portal.
4. 98.9% were the overall GER estimates with 93 students not enrolled out of 8,748 samples</v>
          </cell>
          <cell r="AE87"/>
          <cell r="AF87"/>
          <cell r="AG87"/>
        </row>
        <row r="88">
          <cell r="E88" t="str">
            <v>PP00212</v>
          </cell>
          <cell r="F88" t="str">
            <v>Income Based</v>
          </cell>
          <cell r="G88" t="str">
            <v>Nomination</v>
          </cell>
          <cell r="H88">
            <v>5824000</v>
          </cell>
          <cell r="I88" t="str">
            <v>Completed</v>
          </cell>
          <cell r="J88" t="str">
            <v>Bureau of Indian Standards</v>
          </cell>
          <cell r="K88" t="str">
            <v>Surveillance</v>
          </cell>
          <cell r="L88">
            <v>45293</v>
          </cell>
          <cell r="M88">
            <v>45298</v>
          </cell>
          <cell r="N88">
            <v>45807</v>
          </cell>
          <cell r="O88" t="str">
            <v>Formalities related to project closure pending and payments to be received</v>
          </cell>
          <cell r="P88" t="str">
            <v>To establish a robust and comprehensive  surveillance system along with CMS designed to address existing blind spot and limitations. This scalable system will be progressively implemented across all BIS laboratories in a five-phase approach , addressing facilities that currently lack any surveillance infrastructure.</v>
          </cell>
          <cell r="Q88" t="str">
            <v>TPI/TPA/TPE</v>
          </cell>
          <cell r="R88" t="str">
            <v>October 3, 2025</v>
          </cell>
          <cell r="S88">
            <v>0</v>
          </cell>
          <cell r="T88">
            <v>0</v>
          </cell>
          <cell r="U88" t="str">
            <v>Project Completed, only formalities related to closure to be done</v>
          </cell>
          <cell r="V88" t="str">
            <v>Behind Schedule</v>
          </cell>
          <cell r="W88" t="str">
            <v>Delay in approval of documents (DPR, RFP, LoI) and extented period of tendering from BIS, Rennovation work in Labs, Vendor' delay in work completion</v>
          </cell>
          <cell r="X88" t="str">
            <v>Within Budget</v>
          </cell>
          <cell r="Y88"/>
          <cell r="Z88" t="str">
            <v>Yes</v>
          </cell>
          <cell r="AA88"/>
          <cell r="AB88" t="str">
            <v>All deliverables met</v>
          </cell>
          <cell r="AC88"/>
          <cell r="AD88" t="str">
            <v>One-on-one meetings with all the 10 labs have been conducted, further the Detailed Project Report (DPR), RFP has been submitted to the client. Tender process,Technical Evaluation and financial evaluation completed, Vendor onboarded. Installation of CCTV is completed in all the labs and integration with CMS is done.</v>
          </cell>
          <cell r="AE88" t="str">
            <v>Payments in Process</v>
          </cell>
          <cell r="AF88" t="str">
            <v>No deliverable</v>
          </cell>
          <cell r="AG88" t="str">
            <v>Payment Processing is taking time</v>
          </cell>
        </row>
        <row r="89">
          <cell r="E89" t="str">
            <v>PP00213</v>
          </cell>
          <cell r="F89" t="str">
            <v>Income Based</v>
          </cell>
          <cell r="G89" t="str">
            <v>Tender</v>
          </cell>
          <cell r="H89">
            <v>7431200</v>
          </cell>
          <cell r="I89" t="str">
            <v>Fully Closed</v>
          </cell>
          <cell r="J89" t="str">
            <v>Ministry of Fisheries, Animal Husbandry and Dairying, GoI</v>
          </cell>
          <cell r="K89" t="str">
            <v>Animal Husbandry &amp; Dairying</v>
          </cell>
          <cell r="L89">
            <v>45323</v>
          </cell>
          <cell r="M89">
            <v>45382</v>
          </cell>
          <cell r="N89" t="str">
            <v>NA</v>
          </cell>
          <cell r="O89"/>
          <cell r="P89" t="str">
            <v>The Animal Husbandry Infrastructure Development Fund (AHIDF) is a distinctive and noteworthy initiative spearheaded by the Department of Animal Husbandry &amp; Dairying (DAHD). On 24th June 2020, during the crisis of COVID-19, the cabinet approved the establishment of AHIDF under the Prime Minister's Atma Nirbhar Bharat Abhiyan with a stimulus package of Rs. 15,000/- crore. QCI was entrusted with the evaluation of the scheme.</v>
          </cell>
          <cell r="Q89" t="str">
            <v>TPI/TPA/TPE</v>
          </cell>
          <cell r="R89">
            <v>45779</v>
          </cell>
          <cell r="S89">
            <v>0</v>
          </cell>
          <cell r="T89">
            <v>0</v>
          </cell>
          <cell r="U89" t="str">
            <v>NA</v>
          </cell>
          <cell r="V89" t="str">
            <v>On Schedule</v>
          </cell>
          <cell r="W89"/>
          <cell r="X89" t="str">
            <v>Within Budget</v>
          </cell>
          <cell r="Y89"/>
          <cell r="Z89" t="str">
            <v>Yes</v>
          </cell>
          <cell r="AA89"/>
          <cell r="AB89" t="str">
            <v>All deliverables met</v>
          </cell>
          <cell r="AC89"/>
          <cell r="AD89" t="str">
            <v>Based on the recommendations of the Third-Party Evaluation conducted by QCI, the Animal Husbandry Infrastructure Development Fund (AHIDF) scheme has been extended for an additional three years, with a revised financial outlay of ₹29,610.25 crore.
In response to the evaluation findings, the Department of Animal Husbandry and Dairying (DAHD) has also placed greater emphasis on streamlining scheme implementation processes, with a focus on enhancing coordination and synergy among DAHD, financial institutions, and scheme beneficiaries, thereby ensuring more efficient and impactful delivery of the scheme objectives.</v>
          </cell>
          <cell r="AE89" t="str">
            <v>Not Applicable</v>
          </cell>
          <cell r="AF89" t="str">
            <v>Not Applicable</v>
          </cell>
          <cell r="AG89"/>
        </row>
        <row r="90">
          <cell r="E90" t="str">
            <v>PP00214</v>
          </cell>
          <cell r="F90" t="str">
            <v>Income Based</v>
          </cell>
          <cell r="G90" t="str">
            <v>Nomination</v>
          </cell>
          <cell r="H90">
            <v>17119200</v>
          </cell>
          <cell r="I90" t="str">
            <v>Completed</v>
          </cell>
          <cell r="J90" t="str">
            <v>Central Bureau of Communication - Ministry of Information &amp; Broadcasting</v>
          </cell>
          <cell r="K90" t="str">
            <v>Centrally sponsered social sector schemes</v>
          </cell>
          <cell r="L90">
            <v>45284</v>
          </cell>
          <cell r="M90">
            <v>45347</v>
          </cell>
          <cell r="N90">
            <v>45626</v>
          </cell>
          <cell r="O90"/>
          <cell r="P90" t="str">
            <v>Assessment of IEC Vans deployed under Viksit Bharat Sankalp Yatra to ensure compliance with Ministry Standards</v>
          </cell>
          <cell r="Q90" t="str">
            <v>TPI/TPA/TPE</v>
          </cell>
          <cell r="R90" t="str">
            <v>September 2, 2025</v>
          </cell>
          <cell r="S90">
            <v>0</v>
          </cell>
          <cell r="T90"/>
          <cell r="U90"/>
          <cell r="V90" t="str">
            <v>On Schedule</v>
          </cell>
          <cell r="W90"/>
          <cell r="X90" t="str">
            <v>Within Budget</v>
          </cell>
          <cell r="Y90"/>
          <cell r="Z90" t="str">
            <v>Yes</v>
          </cell>
          <cell r="AA90" t="str">
            <v>There were no  payment milestones in this project; payment was to be made in full upon project completion.</v>
          </cell>
          <cell r="AB90" t="str">
            <v>All deliverables met</v>
          </cell>
          <cell r="AC90"/>
          <cell r="AD90" t="str">
            <v>On Ground Assessment- Visited 2408 locations, out of which 2026 IEC vans were assessed and after thorough quality checks and analysis, daily reports were submitted to the ministry.
Desktop Assessment- Live quality check of the data uploaded by van operator on QCI app was conducted by QCI Backened team.</v>
          </cell>
          <cell r="AE90" t="str">
            <v>Follow-up for payment and revision in the report basis the recent comments.</v>
          </cell>
          <cell r="AF90"/>
          <cell r="AG90" t="str">
            <v>1. The payment was delayed due to leadership changes at CBC (Director General) and MoI&amp;B (Secretary)
2. CBC issued an incorrect work order for Phase 2, causing a delay.
3. There was a delay in signing the MOU on the part of CBC.</v>
          </cell>
        </row>
        <row r="91">
          <cell r="E91" t="str">
            <v>PP00215</v>
          </cell>
          <cell r="F91" t="str">
            <v>Income Based</v>
          </cell>
          <cell r="G91" t="str">
            <v>Nomination</v>
          </cell>
          <cell r="H91">
            <v>2608125</v>
          </cell>
          <cell r="I91" t="str">
            <v>Fully Closed</v>
          </cell>
          <cell r="J91" t="str">
            <v>Ministry of Agriculture &amp; Farmers Welfare</v>
          </cell>
          <cell r="K91" t="str">
            <v>Centrally sponsered social sector schemes</v>
          </cell>
          <cell r="L91">
            <v>45275</v>
          </cell>
          <cell r="M91">
            <v>45391</v>
          </cell>
          <cell r="N91"/>
          <cell r="O91"/>
          <cell r="P91" t="str">
            <v>PMU's goal was to enhance coordination and extend the reach of VBSY to saturate the welfare schemes across India.</v>
          </cell>
          <cell r="Q91" t="str">
            <v>TPI/TPA/TPE</v>
          </cell>
          <cell r="R91" t="str">
            <v>Decemeber 2024</v>
          </cell>
          <cell r="S91"/>
          <cell r="T91"/>
          <cell r="U91"/>
          <cell r="V91" t="str">
            <v>On Schedule</v>
          </cell>
          <cell r="W91"/>
          <cell r="X91" t="str">
            <v>Within Budget</v>
          </cell>
          <cell r="Y91"/>
          <cell r="Z91" t="str">
            <v>No</v>
          </cell>
          <cell r="AA91" t="str">
            <v>Due to SPARSH introduction there was a little confusion with how the payment being made at the payment section in ministry  i.e., the reason why all the payments got delayed. Now the QCI file is with Director (Admin) for payment. we may expect the payment soon.</v>
          </cell>
          <cell r="AB91" t="str">
            <v>All deliverables met</v>
          </cell>
          <cell r="AC91"/>
          <cell r="AD91" t="str">
            <v>The VBSY initiative covered 2.6 lakh gram panchayats across the nation, and the campaign has had a significant impact on the beneficiaries, fostering a sense of empowerment.</v>
          </cell>
          <cell r="AE91"/>
          <cell r="AF91"/>
          <cell r="AG91" t="str">
            <v>Increase scope of work and ad hoc task in PMU , leads to 18 hours of working on an Average and no week and NH off</v>
          </cell>
        </row>
        <row r="92">
          <cell r="E92" t="str">
            <v>PP00216</v>
          </cell>
          <cell r="F92" t="str">
            <v>Income Based</v>
          </cell>
          <cell r="G92" t="str">
            <v>Nomination</v>
          </cell>
          <cell r="H92" t="str">
            <v>₹ 10,48,63,240</v>
          </cell>
          <cell r="I92" t="str">
            <v>Fully Closed</v>
          </cell>
          <cell r="J92" t="str">
            <v>-</v>
          </cell>
          <cell r="K92" t="str">
            <v>Governance</v>
          </cell>
          <cell r="L92" t="str">
            <v>18-12-2023</v>
          </cell>
          <cell r="M92">
            <v>45387</v>
          </cell>
          <cell r="N92" t="str">
            <v>-</v>
          </cell>
          <cell r="O92" t="str">
            <v>-</v>
          </cell>
          <cell r="P92" t="str">
            <v>Govt. of Maharashtra invited QCI to Engage Kaizen Institute SAIN LLP (India) for Capacity Building and Implementing Process Improvements at different offices of Govt. of Maharashtra. The scope of work will include the following:
• Process Improvements and Continual Improvement Capabilities (Kaizen techniques) for Organizational Capacity Building. 
• Streamline process for managing flow of Dak at CMO, Dy. CMO &amp; CRU (Central Registry Unit).
• Encourage use of e-office in home dept., Gen Admin dept., CMO &amp; Dy. CMO areas.
• Removal/ clearing of backlog of old files.</v>
          </cell>
          <cell r="Q92" t="str">
            <v>-</v>
          </cell>
          <cell r="R92">
            <v>45894</v>
          </cell>
          <cell r="S92" t="str">
            <v>-</v>
          </cell>
          <cell r="T92"/>
          <cell r="U92" t="str">
            <v>-</v>
          </cell>
          <cell r="V92" t="str">
            <v>On Schedule</v>
          </cell>
          <cell r="W92" t="str">
            <v>-</v>
          </cell>
          <cell r="X92" t="str">
            <v>Within Budget</v>
          </cell>
          <cell r="Y92" t="str">
            <v>-</v>
          </cell>
          <cell r="Z92" t="str">
            <v>Yes</v>
          </cell>
          <cell r="AA92" t="str">
            <v>QCI has received the amount Rs. 64,51,200/- against its invoice raised for Rs. 79,29,600/- (invoice attached). We have requested clarification on the incomplete payment .(Rs. 14,78,400).</v>
          </cell>
          <cell r="AB92" t="str">
            <v>All deliverables met</v>
          </cell>
          <cell r="AC92" t="str">
            <v>-</v>
          </cell>
          <cell r="AD92" t="str">
            <v>As informed by the vertical head, the project was given to another party for implementation, hence no major impact recorded.</v>
          </cell>
          <cell r="AE92" t="str">
            <v>-</v>
          </cell>
          <cell r="AF92"/>
          <cell r="AG92" t="str">
            <v>-</v>
          </cell>
        </row>
        <row r="93">
          <cell r="E93" t="str">
            <v>PP00217</v>
          </cell>
          <cell r="F93" t="str">
            <v>Income Based</v>
          </cell>
          <cell r="G93" t="str">
            <v>Nomination</v>
          </cell>
          <cell r="H93">
            <v>11032000</v>
          </cell>
          <cell r="I93" t="str">
            <v>Fully Closed</v>
          </cell>
          <cell r="J93" t="str">
            <v>Ministry of Consumer Affairs, Food and public distribution</v>
          </cell>
          <cell r="K93" t="str">
            <v>Food Security, Supply Chain</v>
          </cell>
          <cell r="L93">
            <v>45351</v>
          </cell>
          <cell r="M93">
            <v>45443</v>
          </cell>
          <cell r="N93">
            <v>45550</v>
          </cell>
          <cell r="O93" t="str">
            <v>Client sought extension to allow entities to share data for analysis.</v>
          </cell>
          <cell r="P93" t="str">
            <v>GoI has introduced affordable staple products such as Atta, Rice, and Dal under the Bharat Brand to moderate the prices of important products and promote the welfare of consumers. QCI shall undertake a third-party assessment of the supply chain and the products to verify the product compliace norms, their weights, and customer perception.</v>
          </cell>
          <cell r="Q93" t="str">
            <v>TPI/TPA/TPE</v>
          </cell>
          <cell r="R93">
            <v>45627</v>
          </cell>
          <cell r="S93"/>
          <cell r="T93"/>
          <cell r="U93" t="str">
            <v>Resources migrated to available resources and BD</v>
          </cell>
          <cell r="V93" t="str">
            <v>On Schedule</v>
          </cell>
          <cell r="W93" t="str">
            <v>Report submitted to the client.</v>
          </cell>
          <cell r="X93" t="str">
            <v>Within Budget</v>
          </cell>
          <cell r="Y93"/>
          <cell r="Z93" t="str">
            <v>Yes</v>
          </cell>
          <cell r="AA93" t="str">
            <v>Client sought extension of the timeline for services of QCI</v>
          </cell>
          <cell r="AB93" t="str">
            <v>All deliverables met</v>
          </cell>
          <cell r="AC93"/>
          <cell r="AD93" t="str">
            <v>Assessed the supply chain focused on data accuracy, adequacy, and efficiency. The data collected from on-ground assessment will be analyzed, and the outcomes will be documented in reports for MoCAFPD.</v>
          </cell>
          <cell r="AE93" t="str">
            <v>NA</v>
          </cell>
          <cell r="AF93"/>
          <cell r="AG93" t="str">
            <v>Lack of experts to guide the project</v>
          </cell>
        </row>
        <row r="94">
          <cell r="E94" t="str">
            <v>PP00218</v>
          </cell>
          <cell r="F94" t="str">
            <v>Income Based</v>
          </cell>
          <cell r="G94" t="str">
            <v>Nomination</v>
          </cell>
          <cell r="H94">
            <v>8326080</v>
          </cell>
          <cell r="I94" t="str">
            <v>Fully Closed</v>
          </cell>
          <cell r="J94" t="str">
            <v>GSRTC</v>
          </cell>
          <cell r="K94" t="str">
            <v>Cleanliness and Sanitaion</v>
          </cell>
          <cell r="L94">
            <v>45353</v>
          </cell>
          <cell r="M94">
            <v>45565</v>
          </cell>
          <cell r="N94"/>
          <cell r="O94"/>
          <cell r="P94" t="str">
            <v>Assessment for checking the cleanliness standards at all depots &amp; buses under Gujarat State Road Trasnport Corporation(GSRTC).</v>
          </cell>
          <cell r="Q94" t="str">
            <v>TPI/TPA/TPE</v>
          </cell>
          <cell r="R94">
            <v>45717</v>
          </cell>
          <cell r="S94"/>
          <cell r="T94"/>
          <cell r="U94"/>
          <cell r="V94" t="str">
            <v>Behind Schedule</v>
          </cell>
          <cell r="W94"/>
          <cell r="X94" t="str">
            <v>Within Budget</v>
          </cell>
          <cell r="Y94"/>
          <cell r="Z94" t="str">
            <v>Yes</v>
          </cell>
          <cell r="AA94"/>
          <cell r="AB94" t="str">
            <v>All deliverables met</v>
          </cell>
          <cell r="AC94"/>
          <cell r="AD94" t="str">
            <v>Implemented under "Swachh Yatra Shubh Yatra" initiative, the project encapsulates ranking and assessment of 125 bus depots of GSRTC on the basis of 8 parameters which includes cleanliness at Bus Station Building Premises, Toilet Block of the Bus Station, Inside and Outside of the Buses, Drivers and Conductors restrooms, Workshop Premises, Office Rooms, and Stakeholder and Citizen Interview. The bus depots were scored out of 2500 under brackets of Star 1,2,3,4 and 5 (5 being the highest). </v>
          </cell>
          <cell r="AE94" t="str">
            <v>Project Completed</v>
          </cell>
          <cell r="AF94"/>
          <cell r="AG94" t="str">
            <v>N/A</v>
          </cell>
        </row>
        <row r="95">
          <cell r="E95" t="str">
            <v>PP00219</v>
          </cell>
          <cell r="F95" t="str">
            <v>Income Based</v>
          </cell>
          <cell r="G95" t="str">
            <v>Nomination</v>
          </cell>
          <cell r="H95">
            <v>2079000</v>
          </cell>
          <cell r="I95" t="str">
            <v>Ongoing</v>
          </cell>
          <cell r="J95" t="str">
            <v>TANGEDCO</v>
          </cell>
          <cell r="K95" t="str">
            <v>Coal</v>
          </cell>
          <cell r="L95">
            <v>45357</v>
          </cell>
          <cell r="M95">
            <v>45747</v>
          </cell>
          <cell r="N95">
            <v>46112</v>
          </cell>
          <cell r="O95"/>
          <cell r="P95" t="str">
            <v xml:space="preserve">TANGEDCO has awarded work for carrying out quality analysis of coal at their port end. The objective of the project is ensuring precision, efficiency, and transparency while examining the coal's quality with the aid of the NABL and NABCB. </v>
          </cell>
          <cell r="Q95" t="str">
            <v>TPI/TPA/TPE</v>
          </cell>
          <cell r="R95" t="str">
            <v>April'25</v>
          </cell>
          <cell r="S95" t="str">
            <v>Shared resources from PP00220</v>
          </cell>
          <cell r="T95" t="str">
            <v>Shared resources from PP00220</v>
          </cell>
          <cell r="U95"/>
          <cell r="V95" t="str">
            <v>On Schedule</v>
          </cell>
          <cell r="W95"/>
          <cell r="X95" t="str">
            <v>Within Budget</v>
          </cell>
          <cell r="Y95"/>
          <cell r="Z95" t="str">
            <v>Yes</v>
          </cell>
          <cell r="AA95" t="str">
            <v>delay in the payments from the stakeholders also we are rigorously following up with the stakeholders for our pending payments</v>
          </cell>
          <cell r="AB95" t="str">
            <v>All deliverables met</v>
          </cell>
          <cell r="AC95"/>
          <cell r="AD95" t="str">
            <v>A total volume of  1.49 Million Metric Tonnes has been sampled since the inception.</v>
          </cell>
          <cell r="AE95" t="str">
            <v>A total volume of  0.07 Million Metric Tonnes has been sampled this month.</v>
          </cell>
          <cell r="AF95" t="str">
            <v>Aiming for the project extension for 1 more year</v>
          </cell>
          <cell r="AG95" t="str">
            <v>Local Manpower</v>
          </cell>
        </row>
        <row r="96">
          <cell r="E96" t="str">
            <v>PP00220</v>
          </cell>
          <cell r="F96" t="str">
            <v>Income Based</v>
          </cell>
          <cell r="G96" t="str">
            <v>Nomination</v>
          </cell>
          <cell r="H96">
            <v>17800000</v>
          </cell>
          <cell r="I96" t="str">
            <v>Ongoing</v>
          </cell>
          <cell r="J96" t="str">
            <v>NTPC</v>
          </cell>
          <cell r="K96" t="str">
            <v>Coal</v>
          </cell>
          <cell r="L96">
            <v>45412</v>
          </cell>
          <cell r="M96">
            <v>46532</v>
          </cell>
          <cell r="N96"/>
          <cell r="O96"/>
          <cell r="P96" t="str">
            <v>NTPC has awarded work for carrying out quality analysis of coal at their mine end</v>
          </cell>
          <cell r="Q96" t="str">
            <v>TPI/TPA/TPE</v>
          </cell>
          <cell r="R96" t="str">
            <v>April'25</v>
          </cell>
          <cell r="S96">
            <v>3</v>
          </cell>
          <cell r="T96">
            <v>4</v>
          </cell>
          <cell r="U96"/>
          <cell r="V96" t="str">
            <v>On Schedule</v>
          </cell>
          <cell r="W96"/>
          <cell r="X96" t="str">
            <v>Within Budget</v>
          </cell>
          <cell r="Y96"/>
          <cell r="Z96" t="str">
            <v>Yes</v>
          </cell>
          <cell r="AA96" t="str">
            <v>All payments received as per the invoices raised</v>
          </cell>
          <cell r="AB96" t="str">
            <v>All deliverables met</v>
          </cell>
          <cell r="AC96"/>
          <cell r="AD96" t="str">
            <v>A total volume of 5.53 Million Metric Tonnes has been sampled since 01-04-2024.</v>
          </cell>
          <cell r="AE96" t="str">
            <v>A total volume of 0.23 Million Metric Tonnes has been sampled this month</v>
          </cell>
          <cell r="AF96" t="str">
            <v>Step by step plan for executing the agreement enabling conditions .</v>
          </cell>
          <cell r="AG96" t="str">
            <v>Political issues</v>
          </cell>
        </row>
        <row r="97">
          <cell r="E97" t="str">
            <v>PP00221</v>
          </cell>
          <cell r="F97" t="str">
            <v>Income Based</v>
          </cell>
          <cell r="G97" t="str">
            <v>Tender</v>
          </cell>
          <cell r="H97">
            <v>10513800</v>
          </cell>
          <cell r="I97" t="str">
            <v>Ongoing</v>
          </cell>
          <cell r="J97" t="str">
            <v>NUPPL</v>
          </cell>
          <cell r="K97" t="str">
            <v>Coal</v>
          </cell>
          <cell r="L97">
            <v>45629</v>
          </cell>
          <cell r="M97">
            <v>46329</v>
          </cell>
          <cell r="N97"/>
          <cell r="O97"/>
          <cell r="P97" t="str">
            <v>NUPPL has awarded work for carrying out quality analysis of coal at their plant end</v>
          </cell>
          <cell r="Q97" t="str">
            <v>TPI/TPA/TPE</v>
          </cell>
          <cell r="R97" t="str">
            <v>April'25</v>
          </cell>
          <cell r="S97">
            <v>2</v>
          </cell>
          <cell r="T97" t="str">
            <v>2</v>
          </cell>
          <cell r="U97"/>
          <cell r="V97" t="str">
            <v>On Schedule</v>
          </cell>
          <cell r="W97"/>
          <cell r="X97" t="str">
            <v>Within Budget</v>
          </cell>
          <cell r="Y97"/>
          <cell r="Z97" t="str">
            <v>Yes</v>
          </cell>
          <cell r="AA97" t="str">
            <v>All payments received as per the invoices raised</v>
          </cell>
          <cell r="AB97" t="str">
            <v>All deliverables met</v>
          </cell>
          <cell r="AC97"/>
          <cell r="AD97" t="str">
            <v>A total volume of 1.38 Million Metric Tonnes has been sampled since the inception.</v>
          </cell>
          <cell r="AE97" t="str">
            <v>A total volume of 0.10 Million Metric Tonnes has been sampled this month</v>
          </cell>
          <cell r="AF97" t="str">
            <v>Project extension foe 1 more year</v>
          </cell>
          <cell r="AG97"/>
        </row>
        <row r="98">
          <cell r="E98" t="str">
            <v>PP00222</v>
          </cell>
          <cell r="F98" t="str">
            <v>Income Based</v>
          </cell>
          <cell r="G98" t="str">
            <v>Nomination</v>
          </cell>
          <cell r="H98">
            <v>21632893</v>
          </cell>
          <cell r="I98" t="str">
            <v>Completed</v>
          </cell>
          <cell r="J98" t="str">
            <v>Department of Education-AP</v>
          </cell>
          <cell r="K98" t="str">
            <v>Education</v>
          </cell>
          <cell r="L98">
            <v>45373</v>
          </cell>
          <cell r="M98">
            <v>45495</v>
          </cell>
          <cell r="N98"/>
          <cell r="O98"/>
          <cell r="P98" t="str">
            <v>The Department of School Education onboarded QCI as a quality assurance partner to ensure that the procured products meet 100% compliance with the specified Indian Standards. This partnership is critical to guaranteeing that only quality products are delivered to the end beneficiaries, thereby maintaining trust and achieving the scheme's objectives.</v>
          </cell>
          <cell r="Q98" t="str">
            <v>TPI/PMU</v>
          </cell>
          <cell r="R98">
            <v>45536</v>
          </cell>
          <cell r="S98">
            <v>0</v>
          </cell>
          <cell r="T98"/>
          <cell r="U98"/>
          <cell r="V98" t="str">
            <v>On Schedule</v>
          </cell>
          <cell r="W98"/>
          <cell r="X98" t="str">
            <v>Within Budget</v>
          </cell>
          <cell r="Y98"/>
          <cell r="Z98" t="str">
            <v>Yes</v>
          </cell>
          <cell r="AA98" t="str">
            <v>There was a recent change in the chief minister and the principal secretary which was the reason that the invoices were not cleared. We recently had a virtual meeting with the State Project Director and he has taken the internal approvals and the invoices will be cleared within this month.</v>
          </cell>
          <cell r="AB98" t="str">
            <v>All deliverables met</v>
          </cell>
          <cell r="AC98"/>
          <cell r="AD98" t="str">
            <v>1.	Product Integrity &amp; Compliance – 100% adherence to prescribed standards, reducing defect rates and enhancing durability.
2.	Improved Student Experience – Ensuring that students across 49,190 schools in 26 districts receive high-quality learning materials, contributing to better learning outcomes.
3.	Operational Efficiency – Strengthening procurement mechanisms through proactive testing and quality checks, reducing rejections and delays.
4.	Governance &amp; Trust – Enhancing transparency and accountability in public procurement, reinforcing stakeholder confidence in the initiative.</v>
          </cell>
          <cell r="AE98" t="str">
            <v>Phase III has been 90% completed and we are ahead of our schedule.</v>
          </cell>
          <cell r="AF98"/>
          <cell r="AG98" t="str">
            <v>-</v>
          </cell>
        </row>
        <row r="99">
          <cell r="E99" t="str">
            <v>PP00223</v>
          </cell>
          <cell r="F99" t="str">
            <v>Income Based</v>
          </cell>
          <cell r="G99" t="str">
            <v>Nomination</v>
          </cell>
          <cell r="H99">
            <v>7766916</v>
          </cell>
          <cell r="I99" t="str">
            <v>Fully Closed</v>
          </cell>
          <cell r="J99" t="str">
            <v>MoHUA</v>
          </cell>
          <cell r="K99" t="str">
            <v>Urban Governance and Housing</v>
          </cell>
          <cell r="L99">
            <v>45367</v>
          </cell>
          <cell r="M99">
            <v>45412</v>
          </cell>
          <cell r="N99">
            <v>45449</v>
          </cell>
          <cell r="O99" t="str">
            <v>Multiple Changes in report and later presentations</v>
          </cell>
          <cell r="P99" t="str">
            <v>To evaluate the effectiveness and impact of the Credit Linked Subsidy Scheme (CLSS) under the Pradhan Mantri Awas Yojana (Urban) in addressing the housing needs of various segments of the urban households in India by reaching out to 30,000 CLSS beneficiaries and 10,000 non-CLSS beneficiaries.</v>
          </cell>
          <cell r="Q99" t="str">
            <v>TPI/TPA/TPE</v>
          </cell>
          <cell r="R99">
            <v>45689</v>
          </cell>
          <cell r="S99"/>
          <cell r="T99"/>
          <cell r="U99"/>
          <cell r="V99" t="str">
            <v>On Schedule</v>
          </cell>
          <cell r="W99" t="str">
            <v>It was extended because Non-CLSS beneficiaries data was shared after the month of April.</v>
          </cell>
          <cell r="X99" t="str">
            <v>Within Budget</v>
          </cell>
          <cell r="Y99"/>
          <cell r="Z99" t="str">
            <v>Yes</v>
          </cell>
          <cell r="AA99" t="str">
            <v>However, in July MoHUA requested to submit the GST challan certificate. So the invoices were again submitted along with the challan certificate and draft report in the month of August</v>
          </cell>
          <cell r="AB99" t="str">
            <v>All deliverables met</v>
          </cell>
          <cell r="AC99"/>
          <cell r="AD99" t="str">
            <v>The coverage of the impact assessment was spread across selected 120 cities in 24 States/UTs and covered a total of 40,000 individuals. Of these, 25,500 CLSS beneficiaries and 8,500 non-CLSS beneficiaries will be surveyed online, while 4,500 CLSS beneficiaries and 1,500 non-CLSS beneficiaries will be surveyed offline. It focused on assessing the implementation of CLSS across different states/regions, identifying challenges and analyzing opportunities to enhance the program's outcome in future.</v>
          </cell>
          <cell r="AE99"/>
          <cell r="AF99"/>
          <cell r="AG99" t="str">
            <v xml:space="preserve">From MoHUA's side - Timely receival of data and internally, poor performance of QCI empanelled call centers. </v>
          </cell>
        </row>
        <row r="100">
          <cell r="E100" t="str">
            <v>PP00224</v>
          </cell>
          <cell r="F100" t="str">
            <v>Income Based</v>
          </cell>
          <cell r="G100" t="str">
            <v>Tender</v>
          </cell>
          <cell r="H100">
            <v>19500000</v>
          </cell>
          <cell r="I100" t="str">
            <v>Ongoing</v>
          </cell>
          <cell r="J100" t="str">
            <v>MVVNL</v>
          </cell>
          <cell r="K100" t="str">
            <v>Infrastructure</v>
          </cell>
          <cell r="L100">
            <v>45404</v>
          </cell>
          <cell r="M100">
            <v>46134</v>
          </cell>
          <cell r="N100"/>
          <cell r="O100"/>
          <cell r="P100" t="str">
            <v>Third Party inspection of Electrical works carried out in 2023-24 and 2024-25 under Business Plan, System Augmentation/Strengthening work in different District, under Madhyanchal Vidyut Vitran Nigam (MVVNL) as Discom Quality Monitoring Agency (DQMA).</v>
          </cell>
          <cell r="Q100" t="str">
            <v>TPI/TPA/TPE</v>
          </cell>
          <cell r="R100">
            <v>45778</v>
          </cell>
          <cell r="S100">
            <v>3</v>
          </cell>
          <cell r="T100">
            <v>3</v>
          </cell>
          <cell r="U100"/>
          <cell r="V100" t="str">
            <v>On Schedule</v>
          </cell>
          <cell r="W100"/>
          <cell r="X100" t="str">
            <v>Within Budget</v>
          </cell>
          <cell r="Y100"/>
          <cell r="Z100" t="str">
            <v>Yes</v>
          </cell>
          <cell r="AA100"/>
          <cell r="AB100" t="str">
            <v>All deliverables met</v>
          </cell>
          <cell r="AC100"/>
          <cell r="AD100" t="str">
            <v xml:space="preserve">More than 400+ locations visted </v>
          </cell>
          <cell r="AE100"/>
          <cell r="AF100"/>
          <cell r="AG100" t="str">
            <v xml:space="preserve">The project was initiated a little late than schedule </v>
          </cell>
        </row>
        <row r="101">
          <cell r="E101" t="str">
            <v>PP00225</v>
          </cell>
          <cell r="F101" t="str">
            <v>Income Based</v>
          </cell>
          <cell r="G101" t="str">
            <v>Nomination</v>
          </cell>
          <cell r="H101">
            <v>24062400</v>
          </cell>
          <cell r="I101" t="str">
            <v>Ongoing</v>
          </cell>
          <cell r="J101" t="str">
            <v>GSECL</v>
          </cell>
          <cell r="K101" t="str">
            <v>Coal</v>
          </cell>
          <cell r="L101">
            <v>45428</v>
          </cell>
          <cell r="M101">
            <v>45611</v>
          </cell>
          <cell r="N101">
            <v>45902</v>
          </cell>
          <cell r="O101"/>
          <cell r="P101" t="str">
            <v>GSECL has nominated Quality Council of India (QCI) for Quality analysis of coal at their plants end</v>
          </cell>
          <cell r="Q101" t="str">
            <v>TPI/TPA/TPE</v>
          </cell>
          <cell r="R101" t="str">
            <v>April'25</v>
          </cell>
          <cell r="S101">
            <v>12</v>
          </cell>
          <cell r="T101" t="str">
            <v>13</v>
          </cell>
          <cell r="U101"/>
          <cell r="V101" t="str">
            <v>On Schedule</v>
          </cell>
          <cell r="W101"/>
          <cell r="X101" t="str">
            <v>Within Budget</v>
          </cell>
          <cell r="Y101"/>
          <cell r="Z101" t="str">
            <v>Yes</v>
          </cell>
          <cell r="AA101" t="str">
            <v>All payments received as per the invoices raised from the client end. The mapping of the payments are pending.</v>
          </cell>
          <cell r="AB101" t="str">
            <v>All deliverables met</v>
          </cell>
          <cell r="AC101"/>
          <cell r="AD101" t="str">
            <v>A total volume of 16.15 Million Metric Tonnes of Coal has been sampled since the inception.</v>
          </cell>
          <cell r="AE101" t="str">
            <v>A total volume of 0.93 Million Metric Tonnes of Coal has been sampled this month</v>
          </cell>
          <cell r="AF101" t="str">
            <v>project extension for 3 more years</v>
          </cell>
          <cell r="AG101" t="str">
            <v xml:space="preserve">Local Manpower </v>
          </cell>
        </row>
        <row r="102">
          <cell r="E102" t="str">
            <v>PP00226</v>
          </cell>
          <cell r="F102" t="str">
            <v>Income Based</v>
          </cell>
          <cell r="G102" t="str">
            <v>Tender</v>
          </cell>
          <cell r="H102">
            <v>41500000</v>
          </cell>
          <cell r="I102" t="str">
            <v>Completed</v>
          </cell>
          <cell r="J102" t="str">
            <v>Urban Development and Urban Housind Department.</v>
          </cell>
          <cell r="K102" t="str">
            <v>Sanitation &amp; Hygine</v>
          </cell>
          <cell r="L102">
            <v>45388</v>
          </cell>
          <cell r="M102">
            <v>45753</v>
          </cell>
          <cell r="N102"/>
          <cell r="O102"/>
          <cell r="P102" t="str">
            <v xml:space="preserve">QCI is conducting sanitation assessments of 166 urban local bodies in the state of Gujarat in accordance with the MoHUA-developed Swachh Survekshan toolkit. The evaluation will consist of on-site verification, desktop evaluation, and on-call validation of various sanitation-related aspects. Assessment will be carried out in four phases. </v>
          </cell>
          <cell r="Q102" t="str">
            <v>PMU + TPA</v>
          </cell>
          <cell r="R102">
            <v>45717</v>
          </cell>
          <cell r="S102">
            <v>0</v>
          </cell>
          <cell r="T102"/>
          <cell r="U102" t="str">
            <v>Project Completed</v>
          </cell>
          <cell r="V102" t="str">
            <v>On Schedule</v>
          </cell>
          <cell r="W102"/>
          <cell r="X102" t="str">
            <v>Within Budget</v>
          </cell>
          <cell r="Y102"/>
          <cell r="Z102" t="str">
            <v>Yes</v>
          </cell>
          <cell r="AA102"/>
          <cell r="AB102" t="str">
            <v>All deliverables met</v>
          </cell>
          <cell r="AC102"/>
          <cell r="AD102" t="str">
            <v>·         As of Mar 25, the project has engaged 80,000 citizens in cleanliness assessment process, resulting in higher level of public awareness and participation. The development of Data Collection Application and Assessment Portals has streamlined field operations, leading to reduction in data processing time and more accurate reporting. The SMD and Zonal Portals have facilitated more effective review and decision-making processes, improving response times on cleanliness and sanitation issues.</v>
          </cell>
          <cell r="AE102" t="str">
            <v>Though the project has been completed, some portal enhancement is still underway</v>
          </cell>
          <cell r="AF102"/>
          <cell r="AG102" t="str">
            <v>N/A</v>
          </cell>
        </row>
        <row r="103">
          <cell r="E103" t="str">
            <v>PP00227</v>
          </cell>
          <cell r="F103" t="str">
            <v>Income Based</v>
          </cell>
          <cell r="G103" t="str">
            <v>Nomination</v>
          </cell>
          <cell r="H103">
            <v>6816300</v>
          </cell>
          <cell r="I103" t="str">
            <v>Ongoing</v>
          </cell>
          <cell r="J103" t="str">
            <v>FCI</v>
          </cell>
          <cell r="K103" t="str">
            <v xml:space="preserve">Food Security, Technology </v>
          </cell>
          <cell r="L103">
            <v>45373</v>
          </cell>
          <cell r="M103">
            <v>45657</v>
          </cell>
          <cell r="N103">
            <v>45961</v>
          </cell>
          <cell r="O103" t="str">
            <v>AMC received for extension of the timeline. Phase II development extension WO received on 23.07.2025 along with the AMC till October 2025. Along with it the pending WO for support services in KMS 2024-25 received.
 Value added: Rs 23,92,300, revised from previous 44L.</v>
          </cell>
          <cell r="P103" t="str">
            <v>In line with the resolution taken during the National Food Ministers and UTs Conference on 5th July 2023, a grading mechanism for over 44,000 grain procurement centers (PCs) was introduced. Developed by the Quality Council of India (QCI), this maturity model aims to improve transparency, efficiency, and overall quality management at the grassroots level of grain procurement operations.
To drive this reform, QCI designed and implemented an innovative ICT-based initiative named Procurement Centre Self-Assessment Platform (PCSAP), that enables procurement centers to conduct self-assessments and determine their maturity levels. QCI also undertook extensive capacity-building efforts to ensure successful implementation across states.</v>
          </cell>
          <cell r="Q103" t="str">
            <v>Technology Development</v>
          </cell>
          <cell r="R103" t="str">
            <v>September 2, 2025</v>
          </cell>
          <cell r="S103">
            <v>1</v>
          </cell>
          <cell r="T103">
            <v>1</v>
          </cell>
          <cell r="U103"/>
          <cell r="V103" t="str">
            <v>On Schedule</v>
          </cell>
          <cell r="W103"/>
          <cell r="X103" t="str">
            <v>Within Budget</v>
          </cell>
          <cell r="Y103"/>
          <cell r="Z103" t="str">
            <v>Yes</v>
          </cell>
          <cell r="AA103" t="str">
            <v>Invoice raised</v>
          </cell>
          <cell r="AB103" t="str">
            <v>All deliverables met</v>
          </cell>
          <cell r="AC103"/>
          <cell r="AD103" t="str">
            <v>A dedicated mobile application allows procurement center officers to self-evaluate their centers' preparedness and operational maturity for grain procurement activities.
•	As of the Kharif Marketing Season 2024–25, over 42,217 procurement centers (94%) have registered on the PCSAP with more than 37,455 centers (89%) completing their self-assessments. This wide-scale adoption has significantly enhanced transparency and accountability in grain procurement operations, directly benefiting over 15 million farmers across the country.
•	Real-time, data-driven dashboards at both state and national levels now empower policymakers with actionable insights, enabling more informed fiscal and policy decisions.</v>
          </cell>
          <cell r="AE103" t="str">
            <v>Closing the migration plan with NIC.
Set vision for Development Cycle 2 for PCSAP.</v>
          </cell>
          <cell r="AF103"/>
          <cell r="AG103" t="str">
            <v xml:space="preserve"> Multiple delays from client regarding to finalise various aspects of the technology portal.</v>
          </cell>
        </row>
        <row r="104">
          <cell r="E104" t="str">
            <v>PP00228</v>
          </cell>
          <cell r="F104" t="str">
            <v>Income Based</v>
          </cell>
          <cell r="G104" t="str">
            <v>Nomination</v>
          </cell>
          <cell r="H104">
            <v>200000</v>
          </cell>
          <cell r="I104" t="str">
            <v>Fully Closed</v>
          </cell>
          <cell r="J104" t="str">
            <v>Varanasi Development Authority</v>
          </cell>
          <cell r="K104" t="str">
            <v>Infrastructure</v>
          </cell>
          <cell r="L104">
            <v>45296</v>
          </cell>
          <cell r="M104">
            <v>45808</v>
          </cell>
          <cell r="N104"/>
          <cell r="O104" t="str">
            <v>Work extension expected</v>
          </cell>
          <cell r="P104" t="str">
            <v xml:space="preserve">Third-party inspection service for Open GYM and Kids Play equipment’s to be installed in Govt. parks under Varanasi Development Authority. It is one of the kind project where park and open gyms inspection has been conducted. The aim of the project is to-
• Site visits for the TPQA of Civil/Mechanical component(s).
• Preparation and submission of Site inspection Reports.
• Quality Inspection of Materials installed as per contract specification.
• Review work executed on site as per TS, approved drawings and designs.
</v>
          </cell>
          <cell r="Q104" t="str">
            <v>TPI/TPA/TPE</v>
          </cell>
          <cell r="R104">
            <v>45778</v>
          </cell>
          <cell r="S104">
            <v>0</v>
          </cell>
          <cell r="T104"/>
          <cell r="U104"/>
          <cell r="V104" t="str">
            <v>On Schedule</v>
          </cell>
          <cell r="W104"/>
          <cell r="X104" t="str">
            <v>Within Budget</v>
          </cell>
          <cell r="Y104"/>
          <cell r="Z104" t="str">
            <v>Yes</v>
          </cell>
          <cell r="AA104"/>
          <cell r="AB104" t="str">
            <v>All deliverables met</v>
          </cell>
          <cell r="AC104"/>
          <cell r="AD104" t="str">
            <v>1st visit successfully conducted</v>
          </cell>
          <cell r="AE104" t="str">
            <v xml:space="preserve">Discussion with client is undergoing for the next visit. </v>
          </cell>
          <cell r="AF104"/>
          <cell r="AG104"/>
        </row>
        <row r="105">
          <cell r="E105" t="str">
            <v>PP00229</v>
          </cell>
          <cell r="F105" t="str">
            <v>Income Based</v>
          </cell>
          <cell r="G105" t="str">
            <v>Nomination</v>
          </cell>
          <cell r="H105">
            <v>37422000</v>
          </cell>
          <cell r="I105" t="str">
            <v>Ongoing</v>
          </cell>
          <cell r="J105" t="str">
            <v>SCCL</v>
          </cell>
          <cell r="K105" t="str">
            <v>Coal</v>
          </cell>
          <cell r="L105">
            <v>45479</v>
          </cell>
          <cell r="M105">
            <v>46532</v>
          </cell>
          <cell r="N105"/>
          <cell r="O105"/>
          <cell r="P105" t="str">
            <v xml:space="preserve">Singareni Collieries Company Limited (SCCL) has nominated Quality Council of India (QCI) for quality analysis of coal at their loading end. </v>
          </cell>
          <cell r="Q105" t="str">
            <v>TPI/TPA/TPE</v>
          </cell>
          <cell r="R105" t="str">
            <v>April'25</v>
          </cell>
          <cell r="S105">
            <v>15</v>
          </cell>
          <cell r="T105" t="str">
            <v>15</v>
          </cell>
          <cell r="U105"/>
          <cell r="V105" t="str">
            <v>On Schedule</v>
          </cell>
          <cell r="W105"/>
          <cell r="X105" t="str">
            <v>Within Budget</v>
          </cell>
          <cell r="Y105"/>
          <cell r="Z105" t="str">
            <v>Yes</v>
          </cell>
          <cell r="AA105" t="str">
            <v>Delay in the payments from the stakeholders. We are rigorously following up with the stakeholders for our pending payments</v>
          </cell>
          <cell r="AB105" t="str">
            <v>All deliverables met</v>
          </cell>
          <cell r="AC105"/>
          <cell r="AD105" t="str">
            <v>A total volume of 10.85 MMT has been sampled since inception</v>
          </cell>
          <cell r="AE105" t="str">
            <v>A total volume of 0.93 MMT has been sampled this month</v>
          </cell>
          <cell r="AF105" t="str">
            <v>Start ground operations.</v>
          </cell>
          <cell r="AG105" t="str">
            <v>Delay in joint from stakeholders.</v>
          </cell>
        </row>
        <row r="106">
          <cell r="E106" t="str">
            <v>PP00230</v>
          </cell>
          <cell r="F106" t="str">
            <v>Income Based</v>
          </cell>
          <cell r="G106" t="str">
            <v>Nomination</v>
          </cell>
          <cell r="H106">
            <v>1780000</v>
          </cell>
          <cell r="I106" t="str">
            <v>Ongoing</v>
          </cell>
          <cell r="J106" t="str">
            <v>SAIL CHASNALLA</v>
          </cell>
          <cell r="K106" t="str">
            <v>Coal</v>
          </cell>
          <cell r="L106">
            <v>45295</v>
          </cell>
          <cell r="M106">
            <v>45747</v>
          </cell>
          <cell r="N106">
            <v>46112</v>
          </cell>
          <cell r="O106"/>
          <cell r="P106" t="str">
            <v>Steel Authority of India Limited has awarded work to Quality Council of India for carrying out sampling and analysis of coal at their mine end.</v>
          </cell>
          <cell r="Q106" t="str">
            <v>TPI/TPA/TPE</v>
          </cell>
          <cell r="R106" t="str">
            <v>April'25</v>
          </cell>
          <cell r="S106" t="str">
            <v>Shared resources from PP0001</v>
          </cell>
          <cell r="T106" t="str">
            <v>Shared resources from PP0001</v>
          </cell>
          <cell r="U106"/>
          <cell r="V106" t="str">
            <v>On Schedule</v>
          </cell>
          <cell r="W106"/>
          <cell r="X106" t="str">
            <v>Within Budget</v>
          </cell>
          <cell r="Y106"/>
          <cell r="Z106" t="str">
            <v>Yes</v>
          </cell>
          <cell r="AA106" t="str">
            <v>Delay in the payments from the stakeholders. We are rigorously following up with the stakeholders for our pending payments</v>
          </cell>
          <cell r="AB106" t="str">
            <v>All deliverables met</v>
          </cell>
          <cell r="AC106"/>
          <cell r="AD106" t="str">
            <v>A total volume of 0.65 Million Metric Tonnes has been sampled since the inception.</v>
          </cell>
          <cell r="AE106" t="str">
            <v>A total volume of 0.06 Million Metric Tonnes has been sampled this month.</v>
          </cell>
          <cell r="AF106" t="str">
            <v>Extend the project duration by an additional two years while increasing its scope</v>
          </cell>
          <cell r="AG106" t="str">
            <v>Local manpower issues</v>
          </cell>
        </row>
        <row r="107">
          <cell r="E107" t="str">
            <v>PP00231</v>
          </cell>
          <cell r="F107" t="str">
            <v>Income Based</v>
          </cell>
          <cell r="G107" t="str">
            <v>Nomination</v>
          </cell>
          <cell r="H107">
            <v>111587584</v>
          </cell>
          <cell r="I107" t="str">
            <v>Completed</v>
          </cell>
          <cell r="J107" t="str">
            <v>Ministry of Culture</v>
          </cell>
          <cell r="K107" t="str">
            <v>Arts, Culture &amp; Heritage</v>
          </cell>
          <cell r="L107">
            <v>45398</v>
          </cell>
          <cell r="M107">
            <v>45762</v>
          </cell>
          <cell r="N107"/>
          <cell r="O107"/>
          <cell r="P107" t="str">
            <v>Following the successful completion of Phase-1- “Review of Organizations and Central Sector Schemes under Ministry of Culture”, the Ministry requested QCI to undertake a Phase-2 of the study to support them in implementation of selected recommendations from Phase 1.</v>
          </cell>
          <cell r="Q107" t="str">
            <v>PMU/PMC</v>
          </cell>
          <cell r="R107" t="str">
            <v>September</v>
          </cell>
          <cell r="S107">
            <v>1</v>
          </cell>
          <cell r="T107">
            <v>1</v>
          </cell>
          <cell r="U107" t="str">
            <v xml:space="preserve">Project ended </v>
          </cell>
          <cell r="V107" t="str">
            <v>On Schedule</v>
          </cell>
          <cell r="W107"/>
          <cell r="X107" t="str">
            <v>Within Budget</v>
          </cell>
          <cell r="Y107"/>
          <cell r="Z107" t="str">
            <v>Yes</v>
          </cell>
          <cell r="AA107"/>
          <cell r="AB107" t="str">
            <v>All deliverables met</v>
          </cell>
          <cell r="AC107" t="str">
            <v>NA</v>
          </cell>
          <cell r="AD107" t="str">
            <v>Finalised comprehensive documents on Re-imagined international and domestic awards. 
- Branding: QCI facilitated a nationwide branding campaign for Bharat’s arts and culture, partnering with Dentsu and hosting a brainstorming summit at Bharat Mandapam.  
- Vision 2047: A long-term vision with five ambition items and thrust areas finalized and presented to the Ministry.  
- Responsibility Matrix: Each thrust area assigned to a ministry division and partner organization for accountability.  
- Schemes: Supported digital transition for KSVY, drafted new scheme guidelines, and reviewed the Museum Grant Scheme for improvements.  
- Awards: Revamped selection process for domestic (Sahitya, Sangeet Natak, Lalit Kala Akademis) and international (Gandhi Peace Prize, Tagore Award) awards.  
- Research &amp; Policy: Developed five-year and 100-day plans for Viksit Bharat @ 2047 and frameworks to grade cultural organizations.  
- Visitor Experience &amp; Festivals: Proposed strategies to enhance museum experiences and revamp Festivals of India under the Global Engagement Scheme.  
- Centers of Excellence: Field visit to Kolkata, meetings with stakeholders, and execution plan for a Conservation &amp; Restoration CoE.  
- Website &amp; Content Development: Contributed to the Ministry’s new website, reviewed Dentsu’s work on Yuga Yugeen Bharat Museum branding.  
- Operational &amp; Structural Reforms: Finalized documents on awards, developed a benchmarking framework, proposed an operational model for a new CoE, and recommended recruitment rule changes.</v>
          </cell>
          <cell r="AE107" t="str">
            <v>Reports have been submitted along with the final invoice</v>
          </cell>
          <cell r="AF107"/>
          <cell r="AG107"/>
        </row>
        <row r="108">
          <cell r="E108" t="str">
            <v>PP00232</v>
          </cell>
          <cell r="F108" t="str">
            <v>Income Based</v>
          </cell>
          <cell r="G108" t="str">
            <v>Nomination</v>
          </cell>
          <cell r="H108">
            <v>22713600</v>
          </cell>
          <cell r="I108" t="str">
            <v>Completed</v>
          </cell>
          <cell r="J108" t="str">
            <v>Ministry of Culture</v>
          </cell>
          <cell r="K108" t="str">
            <v>Arts, Culture &amp; Heritage</v>
          </cell>
          <cell r="L108">
            <v>45383</v>
          </cell>
          <cell r="M108">
            <v>45747</v>
          </cell>
          <cell r="N108"/>
          <cell r="O108"/>
          <cell r="P108" t="str">
            <v xml:space="preserve">QCI has been engaged by the Ministry of Culture to onboard professionals with a specific set of skills and set up a PMU under AKAM division, Ministry of Culture. </v>
          </cell>
          <cell r="Q108" t="str">
            <v>PMU/PMC</v>
          </cell>
          <cell r="R108" t="str">
            <v>September</v>
          </cell>
          <cell r="S108">
            <v>0</v>
          </cell>
          <cell r="T108">
            <v>0</v>
          </cell>
          <cell r="U108" t="str">
            <v xml:space="preserve">Project ended </v>
          </cell>
          <cell r="V108" t="str">
            <v>On Schedule</v>
          </cell>
          <cell r="W108"/>
          <cell r="X108" t="str">
            <v>Within Budget</v>
          </cell>
          <cell r="Y108"/>
          <cell r="Z108" t="str">
            <v>Yes</v>
          </cell>
          <cell r="AA108"/>
          <cell r="AB108" t="str">
            <v>All deliverables met</v>
          </cell>
          <cell r="AC108"/>
          <cell r="AD108" t="str">
            <v xml:space="preserve">
• The PMU team has successfully executed “Har Ghar Tiranga Campaign”
• New heroes to be celebrated have been identified.
• Republic Day Celebration activities were undertaken.
</v>
          </cell>
          <cell r="AE108" t="str">
            <v>Varied according to client priorities</v>
          </cell>
          <cell r="AF108"/>
          <cell r="AG108"/>
        </row>
        <row r="109">
          <cell r="E109" t="str">
            <v>PP00233</v>
          </cell>
          <cell r="F109" t="str">
            <v>Income Based</v>
          </cell>
          <cell r="G109" t="str">
            <v>Nomination</v>
          </cell>
          <cell r="H109">
            <v>21134400</v>
          </cell>
          <cell r="I109" t="str">
            <v>Fully Closed</v>
          </cell>
          <cell r="J109" t="str">
            <v>Ministry of Culture</v>
          </cell>
          <cell r="K109" t="str">
            <v>Arts, Culture &amp; Heritage</v>
          </cell>
          <cell r="L109">
            <v>45434</v>
          </cell>
          <cell r="M109">
            <v>45517</v>
          </cell>
          <cell r="N109"/>
          <cell r="O109"/>
          <cell r="P109" t="str">
            <v>The Ministry of Culture through its email dated 25th September 2025 requested Quality Council of India to support in Preparation of Strategic Plans &amp; Roadmaps for A Multi-Sector Group. The Quality Council of India to carry out the exercise will identify and develop cross-cutting levers across the involved sectors into an overarching strategy and to formulate concrete roadmaps &amp; plans to bring out their convergence and common governance priorities for the group.</v>
          </cell>
          <cell r="Q109" t="str">
            <v>No</v>
          </cell>
          <cell r="R109" t="str">
            <v>May</v>
          </cell>
          <cell r="S109"/>
          <cell r="T109"/>
          <cell r="U109"/>
          <cell r="V109" t="str">
            <v>On Schedule</v>
          </cell>
          <cell r="W109"/>
          <cell r="X109" t="str">
            <v>Within Budget</v>
          </cell>
          <cell r="Y109"/>
          <cell r="Z109" t="str">
            <v>Yes</v>
          </cell>
          <cell r="AA109"/>
          <cell r="AB109" t="str">
            <v>All deliverables met</v>
          </cell>
          <cell r="AC109"/>
          <cell r="AD109" t="str">
            <v>Outcomes:
• A coherent, C-level document which clearly outlines transformative ambitions, cross cutting levers, transformative ideas for initiatives, strategy and roadmap, suggested targets for 2030 &amp; 2047 to achieve the outlined ambitions. This will be a sharp, well designed 30-40 slide deck. 
• A short video (approx. 5 minutes) that captures the vision &amp; plans for each sector by interviewing the youth from across the country, voicing their aspirations &amp; hopes
Impact: 
Envisioned aspirational plans for 9 Ministries/ Departments across crucial sectors to pave the way for Viksit Bharat 
Review of 43 Organizations to dive deep into governance, administrative processes, human resources, and performance in delivery of objectives.</v>
          </cell>
          <cell r="AE109" t="str">
            <v>Project closed</v>
          </cell>
          <cell r="AF109"/>
          <cell r="AG109"/>
        </row>
        <row r="110">
          <cell r="E110" t="str">
            <v>PP00234</v>
          </cell>
          <cell r="F110" t="str">
            <v>Income Based</v>
          </cell>
          <cell r="G110" t="str">
            <v>Nomination</v>
          </cell>
          <cell r="H110">
            <v>343616</v>
          </cell>
          <cell r="I110" t="str">
            <v>Completed</v>
          </cell>
          <cell r="J110" t="str">
            <v>Ministry of Agriculture &amp; Farmers Welfare (MoAFW)</v>
          </cell>
          <cell r="K110" t="str">
            <v>Pesticides/Insecticides &amp; Laboratory Evaluation</v>
          </cell>
          <cell r="L110">
            <v>45491</v>
          </cell>
          <cell r="M110">
            <v>45535</v>
          </cell>
          <cell r="N110">
            <v>45747</v>
          </cell>
          <cell r="O110" t="str">
            <v>Final Report Submitted</v>
          </cell>
          <cell r="P110" t="str">
            <v>Third-Party Assessment of all four divisions (Chemistry, Bioassay, Medical Toxicology, &amp; Processing &amp; Packaging) of CIL Faridabad with respect to Infrastructure available, Infrstructure required, Work discharged by CIL, suggestions to established CIL as one of the best in present global scenario, suggestions to prevent/control adulteration in Insecticides/Pesticides, etc.</v>
          </cell>
          <cell r="Q110" t="str">
            <v>TPI/TPA/TPE</v>
          </cell>
          <cell r="R110">
            <v>45930</v>
          </cell>
          <cell r="S110">
            <v>0</v>
          </cell>
          <cell r="T110">
            <v>0</v>
          </cell>
          <cell r="U110" t="str">
            <v>Not Applicable</v>
          </cell>
          <cell r="V110" t="str">
            <v>On Schedule</v>
          </cell>
          <cell r="W110"/>
          <cell r="X110" t="str">
            <v>Within Budget</v>
          </cell>
          <cell r="Y110"/>
          <cell r="Z110" t="str">
            <v>Yes</v>
          </cell>
          <cell r="AA110"/>
          <cell r="AB110" t="str">
            <v>All deliverables met</v>
          </cell>
          <cell r="AC110"/>
          <cell r="AD110" t="str">
            <v xml:space="preserve">The Third-Party Evaluation underscores the urgent need for substantial improvements in infrastructure, technological capabilities, and human resources to elevate the Central Insecticide Laboratory (CIL) to global standards. 
Based on the outcomes of the project, a MoU is being signed between Department of Agriculture &amp; farmers Welfare and QCI to further strengthen the existing PAN India Laboratories through handholding for the NABL Accreditation. </v>
          </cell>
          <cell r="AE110" t="str">
            <v>Not Applicable</v>
          </cell>
          <cell r="AF110"/>
          <cell r="AG110" t="str">
            <v>Lack of Qualified Resource</v>
          </cell>
        </row>
        <row r="111">
          <cell r="E111" t="str">
            <v>PP00235</v>
          </cell>
          <cell r="F111" t="str">
            <v>Income Based</v>
          </cell>
          <cell r="G111" t="str">
            <v>Nomination</v>
          </cell>
          <cell r="H111">
            <v>277176</v>
          </cell>
          <cell r="I111" t="str">
            <v>Fully Closed</v>
          </cell>
          <cell r="J111" t="str">
            <v xml:space="preserve">Nagar Nigam, Moradabad </v>
          </cell>
          <cell r="K111" t="str">
            <v>Mechanical</v>
          </cell>
          <cell r="L111">
            <v>45471</v>
          </cell>
          <cell r="M111">
            <v>45657</v>
          </cell>
          <cell r="N111"/>
          <cell r="O111"/>
          <cell r="P111" t="str">
            <v>QCI was entrusted to conduct TPI of Truck Mounted Water Sprinkler with Anti-Smog Gun PLC Based 03nos (10,000 Liters Capacity) for Using Treated Wastewater for Daily Sprinkling on Roads, Side Patries, Divider, Footpaths in Municipal Areas Along Major Roads &amp; Walls, Trees etc.</v>
          </cell>
          <cell r="Q111" t="str">
            <v>TPI/TPA/TPE</v>
          </cell>
          <cell r="R111">
            <v>45627</v>
          </cell>
          <cell r="S111"/>
          <cell r="T111"/>
          <cell r="U111"/>
          <cell r="V111" t="str">
            <v>On Schedule</v>
          </cell>
          <cell r="W111"/>
          <cell r="X111" t="str">
            <v>Within Budget</v>
          </cell>
          <cell r="Y111"/>
          <cell r="Z111" t="str">
            <v>Yes</v>
          </cell>
          <cell r="AA111"/>
          <cell r="AB111" t="str">
            <v>All deliverables met</v>
          </cell>
          <cell r="AC111"/>
          <cell r="AD111" t="str">
            <v>The objective was to conduct a Third Party Inspection of the first truck which was assembled and in that same order the second and third truck would be assembled and shall be inspected by QCI in the 2nd phase of inspection. The same has been achieved by QCI. The TPI was done in 2 phases. QCI team has successfully concluded the 2nd phase of inspection for anti-smog gun and submitted the report consisting of general observations, defects and deficiencies along with recommendations to the client.</v>
          </cell>
          <cell r="AE111"/>
          <cell r="AF111"/>
          <cell r="AG111"/>
        </row>
        <row r="112">
          <cell r="E112" t="str">
            <v>PP00236</v>
          </cell>
          <cell r="F112" t="str">
            <v>Income Based</v>
          </cell>
          <cell r="G112" t="str">
            <v>Tender</v>
          </cell>
          <cell r="H112">
            <v>2766400</v>
          </cell>
          <cell r="I112" t="str">
            <v>Ongoing</v>
          </cell>
          <cell r="J112" t="str">
            <v>Ministry of Food Processing &amp; Industries (MoFPI), GoI</v>
          </cell>
          <cell r="K112" t="str">
            <v>Food Processing</v>
          </cell>
          <cell r="L112">
            <v>45389</v>
          </cell>
          <cell r="M112">
            <v>45695</v>
          </cell>
          <cell r="N112">
            <v>45961</v>
          </cell>
          <cell r="O112" t="str">
            <v>Initially due to scope extention of the project (in terms of sample size). Later on due to guidance from MOFPI to submit the report in revised format (as per Office Order 66(59)/PFC-II/2018 dated 5th May 2025.</v>
          </cell>
          <cell r="P112" t="str">
            <v>APC Scheme of MoFPI aims to encourage entrepreneurs to set up food processing units based on cluster approach with modern infrastructure. QCI has been entrusted with the evaluation of the scheme.</v>
          </cell>
          <cell r="Q112" t="str">
            <v>TPI/TPA/TPE</v>
          </cell>
          <cell r="R112">
            <v>45930</v>
          </cell>
          <cell r="S112">
            <v>0</v>
          </cell>
          <cell r="T112">
            <v>0</v>
          </cell>
          <cell r="U112" t="str">
            <v>NA</v>
          </cell>
          <cell r="V112" t="str">
            <v>Behind Schedule</v>
          </cell>
          <cell r="W112" t="str">
            <v>Due to revision &amp; input from Ministry</v>
          </cell>
          <cell r="X112" t="str">
            <v>Within Budget</v>
          </cell>
          <cell r="Y112"/>
          <cell r="Z112" t="str">
            <v>No</v>
          </cell>
          <cell r="AA112" t="str">
            <v>Still waiting to get clerances from Ministry to raise invoices</v>
          </cell>
          <cell r="AB112" t="str">
            <v>All deliverables met</v>
          </cell>
          <cell r="AC112"/>
          <cell r="AD112" t="str">
            <v>Draft Report submitted and input received from the Ministry. Input received. Accomodating those inputs.</v>
          </cell>
          <cell r="AE112" t="str">
            <v>Finalization of Report</v>
          </cell>
          <cell r="AF112" t="str">
            <v>Presentation to MoFPI</v>
          </cell>
          <cell r="AG112" t="str">
            <v xml:space="preserve">Initially scope extention after submission of 1st draft report. </v>
          </cell>
        </row>
        <row r="113">
          <cell r="E113" t="str">
            <v>PP00237</v>
          </cell>
          <cell r="F113" t="str">
            <v>Income Based</v>
          </cell>
          <cell r="G113" t="str">
            <v>Nomination</v>
          </cell>
          <cell r="H113">
            <v>44500000</v>
          </cell>
          <cell r="I113" t="str">
            <v>Ongoing</v>
          </cell>
          <cell r="J113"/>
          <cell r="K113" t="str">
            <v>Coal</v>
          </cell>
          <cell r="L113">
            <v>45488</v>
          </cell>
          <cell r="M113">
            <v>46531</v>
          </cell>
          <cell r="N113"/>
          <cell r="O113"/>
          <cell r="P113"/>
          <cell r="Q113" t="str">
            <v>TPI/TPA/TPE</v>
          </cell>
          <cell r="R113" t="str">
            <v>April'25</v>
          </cell>
          <cell r="S113"/>
          <cell r="T113"/>
          <cell r="U113"/>
          <cell r="V113" t="str">
            <v>On Schedule</v>
          </cell>
          <cell r="W113"/>
          <cell r="X113" t="str">
            <v>Within Budget</v>
          </cell>
          <cell r="Y113"/>
          <cell r="Z113" t="str">
            <v>Yes</v>
          </cell>
          <cell r="AA113"/>
          <cell r="AB113" t="str">
            <v>All deliverables met</v>
          </cell>
          <cell r="AC113"/>
          <cell r="AD113" t="str">
            <v>A total volume of 3.75 Million Metric Tonnes has been sampled since the inception.</v>
          </cell>
          <cell r="AE113"/>
          <cell r="AF113"/>
          <cell r="AG113">
            <v>0</v>
          </cell>
        </row>
        <row r="114">
          <cell r="E114" t="str">
            <v>PP00238</v>
          </cell>
          <cell r="F114" t="str">
            <v>Income Based</v>
          </cell>
          <cell r="G114" t="str">
            <v>Nomination</v>
          </cell>
          <cell r="H114">
            <v>73500000</v>
          </cell>
          <cell r="I114" t="str">
            <v>Ongoing</v>
          </cell>
          <cell r="J114" t="str">
            <v>NTPC Limited</v>
          </cell>
          <cell r="K114" t="str">
            <v>Coal</v>
          </cell>
          <cell r="L114">
            <v>45493</v>
          </cell>
          <cell r="M114">
            <v>46532</v>
          </cell>
          <cell r="N114"/>
          <cell r="O114"/>
          <cell r="P114" t="str">
            <v>NTPC has nominated Quality Council of India (QCI) for quality analysis of coal at their mine end</v>
          </cell>
          <cell r="Q114" t="str">
            <v>TPI/TPA/TPE</v>
          </cell>
          <cell r="R114" t="str">
            <v>April'25</v>
          </cell>
          <cell r="S114" t="str">
            <v>Shared resources from PP00141</v>
          </cell>
          <cell r="T114" t="str">
            <v>Shared resources from PP00141</v>
          </cell>
          <cell r="U114"/>
          <cell r="V114" t="str">
            <v>On Schedule</v>
          </cell>
          <cell r="W114"/>
          <cell r="X114" t="str">
            <v>Within Budget</v>
          </cell>
          <cell r="Y114"/>
          <cell r="Z114" t="str">
            <v>Yes</v>
          </cell>
          <cell r="AA114"/>
          <cell r="AB114" t="str">
            <v>All deliverables met</v>
          </cell>
          <cell r="AC114"/>
          <cell r="AD114" t="str">
            <v>The project became operational in the month of February 2025 with a newly setup plant of NTPC and a total of 0.1 MMT have been sampled till date.</v>
          </cell>
          <cell r="AE114" t="str">
            <v>A total of 0.02 mmt has been sampled this month</v>
          </cell>
          <cell r="AF114"/>
          <cell r="AG114"/>
        </row>
        <row r="115">
          <cell r="E115" t="str">
            <v>PP00239</v>
          </cell>
          <cell r="F115" t="str">
            <v>Income Based</v>
          </cell>
          <cell r="G115" t="str">
            <v>Nomination</v>
          </cell>
          <cell r="H115">
            <v>1702400</v>
          </cell>
          <cell r="I115" t="str">
            <v>Completed</v>
          </cell>
          <cell r="J115" t="str">
            <v>Government of Maharashtra</v>
          </cell>
          <cell r="K115" t="str">
            <v>Rural Development</v>
          </cell>
          <cell r="L115">
            <v>45497</v>
          </cell>
          <cell r="M115">
            <v>45559</v>
          </cell>
          <cell r="N115">
            <v>45688</v>
          </cell>
          <cell r="O115" t="str">
            <v>An extension work order has been received to inlcude 6 non-VSTF villages as part of the study</v>
          </cell>
          <cell r="P115" t="str">
            <v>VSTF  reached out to Quality Council of India (QCI) for conducting an Impact Assessment Study across various Gram Panchayats (GPs) in 06 Districts. This includes impact and transformation brought by VSTF in the 12 GPs in 6 districts (Amaravati, Yavatmal, Gadchiroli, Raigad, Chandarpur &amp; Aurangabad) with NGO partners and through CMRDFs. To conduct the impact assessment, QCI and VSTF together shortlisted 04 indicators to critically assess and evaluate the progress made in GPs of 06 districts.  VSTF now wants to conduct a comparison study between VSTF and Non-VSTF villages</v>
          </cell>
          <cell r="Q115"/>
          <cell r="R115">
            <v>45658</v>
          </cell>
          <cell r="S115"/>
          <cell r="T115"/>
          <cell r="U115"/>
          <cell r="V115" t="str">
            <v>On Schedule</v>
          </cell>
          <cell r="W115"/>
          <cell r="X115" t="str">
            <v>Within Budget</v>
          </cell>
          <cell r="Y115"/>
          <cell r="Z115" t="str">
            <v>Yes</v>
          </cell>
          <cell r="AA115"/>
          <cell r="AB115" t="str">
            <v>All deliverables met</v>
          </cell>
          <cell r="AC115"/>
          <cell r="AD115" t="str">
            <v xml:space="preserve">The impact evaluation assessment has been completed for all the 12 Gram Panchayats across 6 districts in Maharashtra within the expected timeline. The assessment was carried out onsite capturing data from key stakeholders (Gram Sachiv/Sarpanch, Agriculture Assistants, Rural Housing Engineers and Households). The final report has been submitted. </v>
          </cell>
          <cell r="AE115"/>
          <cell r="AF115"/>
          <cell r="AG115"/>
        </row>
        <row r="116">
          <cell r="E116" t="str">
            <v>PP00240</v>
          </cell>
          <cell r="F116" t="str">
            <v>Income Based</v>
          </cell>
          <cell r="G116" t="str">
            <v>Tender</v>
          </cell>
          <cell r="H116">
            <v>24576271.18</v>
          </cell>
          <cell r="I116" t="str">
            <v>Ongoing</v>
          </cell>
          <cell r="J116" t="str">
            <v>Commissionerate of Rural Development</v>
          </cell>
          <cell r="K116" t="str">
            <v xml:space="preserve">Sanitation </v>
          </cell>
          <cell r="L116">
            <v>45513</v>
          </cell>
          <cell r="M116">
            <v>45878</v>
          </cell>
          <cell r="N116">
            <v>45930</v>
          </cell>
          <cell r="O116"/>
          <cell r="P116" t="str">
            <v>The Quality Council of India (QCI) has been engaged by the Commissionerate of Rural Development, Government of Gujarat, to conduct a comprehensive state-wide assessment aligned with Swachh Survekshan Rural (SSR) parameters. As the Project Implementation Unit (PIU), QCI is responsible for end-to-end management of the assessment framework, which includes the deployment of 33 District Coordinators and 2 State-level Coordinators. The assessment covers key indicators such as household-level sanitation, solid and liquid waste management, access to community and institutional toilets, ODF-Sustainability, and citizen feedback. A special focus has been given to the evaluation of ODF Model Villages, examining their compliance with advanced sanitation and cleanliness benchmarks, community participation, and sustainable practices.</v>
          </cell>
          <cell r="Q116" t="str">
            <v>PIU + TPA</v>
          </cell>
          <cell r="R116">
            <v>45717</v>
          </cell>
          <cell r="S116">
            <v>32</v>
          </cell>
          <cell r="T116"/>
          <cell r="U116" t="str">
            <v>N/A</v>
          </cell>
          <cell r="V116" t="str">
            <v>On Schedule</v>
          </cell>
          <cell r="W116"/>
          <cell r="X116" t="str">
            <v>Within Budget</v>
          </cell>
          <cell r="Y116"/>
          <cell r="Z116" t="str">
            <v>Yes</v>
          </cell>
          <cell r="AA116"/>
          <cell r="AB116" t="str">
            <v>All deliverables met</v>
          </cell>
          <cell r="AC116"/>
          <cell r="AD116" t="str">
            <v>·         As of Mar 25, deployment of PMU Team, Capacity Building and Questionnaire development for the assessment has been completed. Field Assessment of 526 villages under SBM and Houses built under PMAY has been concluded. Capacity building via District coordinators for various schemes has also been undertaken. IT Portal has been deployed and Capacity building via District coordinators for various schemes is being conducted.
The project has brought in a structured, transparent, and evidence-based approach to evaluating rural sanitation outcomes across Gujarat. By specifically assessing ODF Model Villages, the initiative has helped validate on-ground performance, identify replicable best practices, and flag areas needing improvement. Capacity-building sessions have enhanced the understanding of SSR parameters among district and block-level functionaries, leading to more informed decision-making. The assessment has strengthened inter-departmental coordination, encouraged active community engagement, and improved the state’s readiness for national-level Swachh Survekshan Rural rankings—reinforcing Gujarat’s leadership in rural sanitation under the Swachh Bharat Mission (Grameen).</v>
          </cell>
          <cell r="AE116" t="str">
            <v>Conclusion of 2nd phase assessment along with report sharing</v>
          </cell>
          <cell r="AF116"/>
          <cell r="AG116" t="str">
            <v>Portal Deliverable along with delays for data from Client's end</v>
          </cell>
        </row>
        <row r="117">
          <cell r="E117" t="str">
            <v>PP00241</v>
          </cell>
          <cell r="F117" t="str">
            <v>Income Based</v>
          </cell>
          <cell r="G117" t="str">
            <v>Nomination</v>
          </cell>
          <cell r="H117">
            <v>104863240</v>
          </cell>
          <cell r="I117" t="str">
            <v>Ongoing</v>
          </cell>
          <cell r="J117" t="str">
            <v>AMRUT/ MoHUA</v>
          </cell>
          <cell r="K117" t="str">
            <v xml:space="preserve">Sanitation </v>
          </cell>
          <cell r="L117">
            <v>45533</v>
          </cell>
          <cell r="M117">
            <v>45747</v>
          </cell>
          <cell r="N117">
            <v>46022</v>
          </cell>
          <cell r="O117" t="str">
            <v>Phase based project. 2nd phase pending</v>
          </cell>
          <cell r="P117" t="str">
            <v xml:space="preserve">Under the initiative "Jal is Amrit", the Quality Council of India (QCI) conducted a phase-wise assessment of Sewage Treatment Plants (STPs) across selected Urban Local Bodies. The objective was to evaluate the functionality, sustainability, and overall operational efficiency of STPs as critical infrastructure for urban wastewater management.
The assessment was carried out using a structured framework covering key parameters such as technology deployed, human resource adequacy, maintenance practices, treatment efficiency, power backup systems, and compliance with discharge norms. This initiative supported evidence-based evaluation and highlighted systemic improvements required for optimized functioning of urban wastewater infrastructure.
</v>
          </cell>
          <cell r="Q117" t="str">
            <v>TPI/TPA/TPE</v>
          </cell>
          <cell r="R117">
            <v>45717</v>
          </cell>
          <cell r="S117">
            <v>0</v>
          </cell>
          <cell r="T117">
            <v>0</v>
          </cell>
          <cell r="U117" t="str">
            <v>New Phase still not commenced</v>
          </cell>
          <cell r="V117" t="str">
            <v>On Schedule</v>
          </cell>
          <cell r="W117" t="str">
            <v>N/A</v>
          </cell>
          <cell r="X117" t="str">
            <v>Within Budget</v>
          </cell>
          <cell r="Y117"/>
          <cell r="Z117" t="str">
            <v>Yes</v>
          </cell>
          <cell r="AA117"/>
          <cell r="AB117" t="str">
            <v>All deliverables met</v>
          </cell>
          <cell r="AC117"/>
          <cell r="AD117" t="str">
            <v xml:space="preserve">The “Jal is Amrit” project enabled a comprehensive understanding of the current operational status of STPs across multiple ULBs. It helped identify gaps in manpower, technology suitability, and infrastructure maintenance. The assessment provided actionable insights for improving plant efficiency, ensuring better treated water quality, and achieving compliance with environmental norms. It also supported decision-makers with data-driven recommendations to strengthen sewage infrastructure and laid the foundation for sustainable urban water management practices.
The Jal Hi Amrit initiative led to significant improvements in the country’s wastewater management system, including:
• Enhanced functionality and operational efficiency of STPs.
• Improved quality of treated water, making it more suitable for reuse.
• A boost in sustainable water management, encouraging cities and states to adopt best practices.
</v>
          </cell>
          <cell r="AE117" t="str">
            <v>Finalisation of new phase</v>
          </cell>
          <cell r="AF117" t="str">
            <v>Conclusion of Phase 3 assessment</v>
          </cell>
          <cell r="AG117" t="str">
            <v>Delay by department on cost related to assessment being charged by QCI and additional of functionality assessment</v>
          </cell>
        </row>
        <row r="118">
          <cell r="E118" t="str">
            <v>PP00242</v>
          </cell>
          <cell r="F118" t="str">
            <v>Income Based</v>
          </cell>
          <cell r="G118" t="str">
            <v>Nomination</v>
          </cell>
          <cell r="H118">
            <v>18828465</v>
          </cell>
          <cell r="I118" t="str">
            <v>Fully Closed</v>
          </cell>
          <cell r="J118" t="str">
            <v>MHA</v>
          </cell>
          <cell r="K118"/>
          <cell r="L118">
            <v>45551</v>
          </cell>
          <cell r="M118">
            <v>45688</v>
          </cell>
          <cell r="N118"/>
          <cell r="O118"/>
          <cell r="P118"/>
          <cell r="Q118"/>
          <cell r="R118"/>
          <cell r="S118"/>
          <cell r="T118"/>
          <cell r="U118"/>
          <cell r="V118"/>
          <cell r="W118"/>
          <cell r="X118" t="str">
            <v>On Schedule</v>
          </cell>
          <cell r="Y118"/>
          <cell r="Z118"/>
          <cell r="AA118"/>
          <cell r="AB118"/>
          <cell r="AC118"/>
          <cell r="AD118"/>
          <cell r="AE118"/>
          <cell r="AF118"/>
          <cell r="AG118"/>
        </row>
        <row r="119">
          <cell r="E119" t="str">
            <v>PP00243</v>
          </cell>
          <cell r="F119" t="str">
            <v>Income Based</v>
          </cell>
          <cell r="G119" t="str">
            <v>Nomination</v>
          </cell>
          <cell r="H119">
            <v>13000000</v>
          </cell>
          <cell r="I119" t="str">
            <v>Ongoing</v>
          </cell>
          <cell r="J119" t="str">
            <v xml:space="preserve">Uttar Pradesh State Tourism Development Corporation Ltd. </v>
          </cell>
          <cell r="K119" t="str">
            <v>Infrastructure</v>
          </cell>
          <cell r="L119">
            <v>45520</v>
          </cell>
          <cell r="M119">
            <v>46275</v>
          </cell>
          <cell r="N119" t="str">
            <v>-</v>
          </cell>
          <cell r="O119"/>
          <cell r="P119" t="str">
            <v xml:space="preserve">QCI was entrusted to conduct TPI of Civil/Electrical works being executed by the Uttar Pradesh State Tourism Development Corporation Ltd. (UPSTDC). It is to perform inspections on projects associated with tourism department across Uttar Pradesh. </v>
          </cell>
          <cell r="Q119" t="str">
            <v>TPI/TPA/TPE</v>
          </cell>
          <cell r="R119">
            <v>45901</v>
          </cell>
          <cell r="S119">
            <v>6</v>
          </cell>
          <cell r="T119">
            <v>6</v>
          </cell>
          <cell r="U119"/>
          <cell r="V119" t="str">
            <v>On Schedule</v>
          </cell>
          <cell r="W119"/>
          <cell r="X119" t="str">
            <v>Within Budget</v>
          </cell>
          <cell r="Y119"/>
          <cell r="Z119" t="str">
            <v>Yes</v>
          </cell>
          <cell r="AA119"/>
          <cell r="AB119" t="str">
            <v>All deliverables met</v>
          </cell>
          <cell r="AC119"/>
          <cell r="AD119" t="str">
            <v>An agreement between QCI and UPSTDC has been signed for 2 years to conduct TPI for civil/electrical works executed by UPSTDC in the state of Uttar Pradesh. QCI has conducted more than 300 sites inspections since the inception of the project.</v>
          </cell>
          <cell r="AE119" t="str">
            <v xml:space="preserve">Periodic site visits for inspections at multiple districts in Uttar Pradesh </v>
          </cell>
          <cell r="AF119"/>
          <cell r="AG119"/>
        </row>
        <row r="120">
          <cell r="E120" t="str">
            <v>PP00244</v>
          </cell>
          <cell r="F120" t="str">
            <v>Income Based</v>
          </cell>
          <cell r="G120" t="str">
            <v>Nomination</v>
          </cell>
          <cell r="H120">
            <v>5959781</v>
          </cell>
          <cell r="I120" t="str">
            <v>Completed</v>
          </cell>
          <cell r="J120" t="str">
            <v>DC Handlooms, Ministry of Textiles</v>
          </cell>
          <cell r="K120" t="str">
            <v>Handlooms</v>
          </cell>
          <cell r="L120">
            <v>45541</v>
          </cell>
          <cell r="M120">
            <v>45630</v>
          </cell>
          <cell r="N120">
            <v>45659</v>
          </cell>
          <cell r="O120" t="str">
            <v>The final report has been shared with the DC handloom after a review with SG.</v>
          </cell>
          <cell r="P120" t="str">
            <v>The Quality Council of India (QCI) conducted a pan-India third-party evaluation (TPE) from September to December 2024, assessing the Ministry of Textiles' Raw Material Supply Scheme (RMSS) for 2021-24. This flagship initiative, implemented by the National Handlooms Development Corporation (NHDC), provides 15% price subsidies on natural fiber yarns and transport subsidies to handloom weavers. The evaluation, covering 676 beneficiary groups and 65 suppliers (statistically representative samples), employed document and transaction verifications, key informant interviews, and focus group discussions to: 
1.	Determine the scheme's effectiveness and efficiency, 
2.	Provide data-driven insights for policy refinement, and 
3.	Deliver a comprehensive report to inform future support for Indian handloom weavers.</v>
          </cell>
          <cell r="Q120" t="str">
            <v>TPI/TPA/TPE</v>
          </cell>
          <cell r="R120">
            <v>45689</v>
          </cell>
          <cell r="S120" t="str">
            <v>-</v>
          </cell>
          <cell r="T120" t="str">
            <v>-</v>
          </cell>
          <cell r="U120" t="str">
            <v>-</v>
          </cell>
          <cell r="V120" t="str">
            <v>On Schedule</v>
          </cell>
          <cell r="W120" t="str">
            <v>-</v>
          </cell>
          <cell r="X120" t="str">
            <v>Within Budget</v>
          </cell>
          <cell r="Y120" t="str">
            <v>-</v>
          </cell>
          <cell r="Z120" t="str">
            <v>Yes</v>
          </cell>
          <cell r="AA120" t="str">
            <v>-</v>
          </cell>
          <cell r="AB120" t="str">
            <v>All deliverables met</v>
          </cell>
          <cell r="AC120" t="str">
            <v>-</v>
          </cell>
          <cell r="AD120" t="str">
            <v>1.	Income Boost: Over 70% of beneficiaries reported increased income, significantly above 2019 census levels. 
2.	Delivery/Subsidy: Most satisfied, but &gt;25% faced delivery delays, and subsidy averaged 3 months. 
3.	App Underuse: E-Dhaga app adoption is low; reliance on NHDC is high. 
4.	Supplier Non-Compliance: Majority of suppliers skip inspections and label requirements. 
5.	Case Issues: 
5.1.	Assam: Discrepancies in beneficiary records.
5.2.	Passbooks: NHDC retention issues.
5.3.	Supply: Yarn unavailability led to dropouts.</v>
          </cell>
          <cell r="AE120" t="str">
            <v>Closed the on-field assessments. Draft report shared with the client for any inputs</v>
          </cell>
          <cell r="AF120" t="str">
            <v>-</v>
          </cell>
          <cell r="AG120" t="str">
            <v>-</v>
          </cell>
        </row>
        <row r="121">
          <cell r="E121" t="str">
            <v>PP00245</v>
          </cell>
          <cell r="F121" t="str">
            <v>Income Based</v>
          </cell>
          <cell r="G121" t="str">
            <v>Nomination</v>
          </cell>
          <cell r="H121">
            <v>36576960</v>
          </cell>
          <cell r="I121" t="str">
            <v>Ongoing</v>
          </cell>
          <cell r="J121" t="str">
            <v>CBC</v>
          </cell>
          <cell r="K121"/>
          <cell r="L121">
            <v>45552</v>
          </cell>
          <cell r="M121">
            <v>45916</v>
          </cell>
          <cell r="N121"/>
          <cell r="O121"/>
          <cell r="P121"/>
          <cell r="Q121"/>
          <cell r="R121"/>
          <cell r="S121"/>
          <cell r="T121"/>
          <cell r="U121"/>
          <cell r="V121" t="str">
            <v>On Schedule</v>
          </cell>
          <cell r="W121"/>
          <cell r="X121" t="str">
            <v>Within Budget</v>
          </cell>
          <cell r="Y121"/>
          <cell r="Z121" t="str">
            <v>Yes</v>
          </cell>
          <cell r="AA121"/>
          <cell r="AB121" t="str">
            <v>All deliverables met</v>
          </cell>
          <cell r="AC121"/>
          <cell r="AD121"/>
          <cell r="AE121"/>
          <cell r="AF121"/>
          <cell r="AG121"/>
        </row>
        <row r="122">
          <cell r="E122" t="str">
            <v>PP00246</v>
          </cell>
          <cell r="F122" t="str">
            <v>Income Based</v>
          </cell>
          <cell r="G122" t="str">
            <v>Tender</v>
          </cell>
          <cell r="H122">
            <v>9828000</v>
          </cell>
          <cell r="I122" t="str">
            <v>Ongoing</v>
          </cell>
          <cell r="J122" t="str">
            <v>Chhattisgarh State Power Generation Company Limited</v>
          </cell>
          <cell r="K122" t="str">
            <v>Coal</v>
          </cell>
          <cell r="L122">
            <v>45587</v>
          </cell>
          <cell r="M122">
            <v>45950</v>
          </cell>
          <cell r="N122"/>
          <cell r="O122"/>
          <cell r="P122" t="str">
            <v>QCI has won this project in the competeive bidding for quality analysis of coal at the mine end of ABVPTS.</v>
          </cell>
          <cell r="Q122" t="str">
            <v>TPI/TPA/TPE</v>
          </cell>
          <cell r="R122" t="str">
            <v>April'25</v>
          </cell>
          <cell r="S122">
            <v>4</v>
          </cell>
          <cell r="T122">
            <v>4</v>
          </cell>
          <cell r="U122"/>
          <cell r="V122" t="str">
            <v>On Schedule</v>
          </cell>
          <cell r="W122"/>
          <cell r="X122" t="str">
            <v>Within Budget</v>
          </cell>
          <cell r="Y122"/>
          <cell r="Z122" t="str">
            <v>Yes</v>
          </cell>
          <cell r="AA122"/>
          <cell r="AB122" t="str">
            <v>All deliverables met</v>
          </cell>
          <cell r="AC122"/>
          <cell r="AD122" t="str">
            <v>A total volume of 3.82 Million Metric Tonnes of Coal has been sampled since the inception.</v>
          </cell>
          <cell r="AE122" t="str">
            <v>A total volume of 0.20 Million Metric Tonnes of Coal has been sampled this month.</v>
          </cell>
          <cell r="AF122"/>
          <cell r="AG122"/>
        </row>
        <row r="123">
          <cell r="E123" t="str">
            <v>PP00247</v>
          </cell>
          <cell r="F123" t="str">
            <v>Income Based</v>
          </cell>
          <cell r="G123" t="str">
            <v>Nomination</v>
          </cell>
          <cell r="H123">
            <v>4936680</v>
          </cell>
          <cell r="I123" t="str">
            <v>Fully Closed</v>
          </cell>
          <cell r="J123" t="str">
            <v>Tourism Corporation of Gujarat</v>
          </cell>
          <cell r="K123" t="str">
            <v>Tourism</v>
          </cell>
          <cell r="L123">
            <v>45589</v>
          </cell>
          <cell r="M123">
            <v>45665</v>
          </cell>
          <cell r="N123"/>
          <cell r="O123" t="str">
            <v>The report has been submitted. The changes are yet to be suggested by the client. Delay is from the client end.</v>
          </cell>
          <cell r="P123" t="str">
            <v>To fulfil the objectives of the multi-sector group, QCI will be engaging a consulting agency with sectoral expertise to support in ‘Preparation of Strategic Plans &amp; Roadmaps for the Multi-Sector Group’.</v>
          </cell>
          <cell r="Q123" t="str">
            <v>TPI/TPA/TPE</v>
          </cell>
          <cell r="R123" t="str">
            <v>July</v>
          </cell>
          <cell r="S123">
            <v>0</v>
          </cell>
          <cell r="T123">
            <v>0</v>
          </cell>
          <cell r="U123"/>
          <cell r="V123" t="str">
            <v>On Schedule</v>
          </cell>
          <cell r="W123"/>
          <cell r="X123" t="str">
            <v>Within Budget</v>
          </cell>
          <cell r="Y123"/>
          <cell r="Z123" t="str">
            <v>Yes</v>
          </cell>
          <cell r="AA123"/>
          <cell r="AB123" t="str">
            <v>All deliverables met</v>
          </cell>
          <cell r="AC123"/>
          <cell r="AD123" t="str">
            <v>As part of the engagement, a comprehensive report and presentation detailing the proposed organizational structure, remuneration framework,grading and benchmarking analysis were submitted to the client.
The final recommendations were designed to enhance efficiency, manpower utilization, and future readiness of TCGL by aligning its structure with industry best practices and government benchmarks.
Additionally, a presentation has been prepared for the Hon’ble Chief Minister, summarizing the key findings and proposed reforms</v>
          </cell>
          <cell r="AE123" t="str">
            <v>Meeting with CM, final report submission will be done.</v>
          </cell>
          <cell r="AF123"/>
          <cell r="AG123"/>
        </row>
        <row r="124">
          <cell r="E124" t="str">
            <v>PP00248</v>
          </cell>
          <cell r="F124" t="str">
            <v>Income Based</v>
          </cell>
          <cell r="G124" t="str">
            <v>Nomination</v>
          </cell>
          <cell r="H124">
            <v>450000</v>
          </cell>
          <cell r="I124" t="str">
            <v>Fully Closed</v>
          </cell>
          <cell r="J124" t="str">
            <v xml:space="preserve">Nagar Nigam, Moradabad </v>
          </cell>
          <cell r="K124" t="str">
            <v>Infrastructure</v>
          </cell>
          <cell r="L124">
            <v>45602</v>
          </cell>
          <cell r="M124">
            <v>45632</v>
          </cell>
          <cell r="N124" t="str">
            <v>-</v>
          </cell>
          <cell r="O124" t="str">
            <v xml:space="preserve">Received Final payment and report has been submitted </v>
          </cell>
          <cell r="P124" t="str">
            <v>QCI was entrusted to conduct a one time survey of the quality of backlog waste lying in the trashing ground situated at Rampur Road</v>
          </cell>
          <cell r="Q124" t="str">
            <v>Assessment of legacy waste</v>
          </cell>
          <cell r="R124">
            <v>45809</v>
          </cell>
          <cell r="S124">
            <v>0</v>
          </cell>
          <cell r="T124"/>
          <cell r="U124"/>
          <cell r="V124" t="str">
            <v>On Schedule</v>
          </cell>
          <cell r="W124"/>
          <cell r="X124" t="str">
            <v>Within Budget</v>
          </cell>
          <cell r="Y124"/>
          <cell r="Z124" t="str">
            <v>Yes</v>
          </cell>
          <cell r="AA124"/>
          <cell r="AB124" t="str">
            <v>All deliverables met</v>
          </cell>
          <cell r="AC124"/>
          <cell r="AD124" t="str">
            <v>QCI was entrusted to conduct a one time survey of the quality of backlog waste lying in the trashing ground situated at Rampur Road and concluded the same. And a final report has been submitted to the client.</v>
          </cell>
          <cell r="AE124"/>
          <cell r="AF124"/>
          <cell r="AG124"/>
        </row>
        <row r="125">
          <cell r="E125" t="str">
            <v>PP00249</v>
          </cell>
          <cell r="F125" t="str">
            <v>Income Based</v>
          </cell>
          <cell r="G125" t="str">
            <v>Nomination</v>
          </cell>
          <cell r="H125">
            <v>2000000</v>
          </cell>
          <cell r="I125" t="str">
            <v>Completed</v>
          </cell>
          <cell r="J125" t="str">
            <v>PHED, Govt. of Haryana</v>
          </cell>
          <cell r="K125" t="str">
            <v>Infrastructure</v>
          </cell>
          <cell r="L125">
            <v>45608</v>
          </cell>
          <cell r="M125">
            <v>45657</v>
          </cell>
          <cell r="N125" t="str">
            <v>-</v>
          </cell>
          <cell r="O125" t="str">
            <v>Extension is awaited, currently on hold</v>
          </cell>
          <cell r="P125" t="str">
            <v>QCI was entrusted to conduct Third Party Inspection of works other than JJM executed by PHED (Public Health Engineering Department) in the state of Haryana. QCI conducted 5 site inspections and have submitted the reports for the inspected sites. QCI will be receiving additional work from the department and the site inspection shall be conducted periodically.</v>
          </cell>
          <cell r="Q125" t="str">
            <v>TPI/TPA/TPE</v>
          </cell>
          <cell r="R125">
            <v>45901</v>
          </cell>
          <cell r="S125">
            <v>0</v>
          </cell>
          <cell r="T125">
            <v>0</v>
          </cell>
          <cell r="U125"/>
          <cell r="V125" t="str">
            <v>On Schedule</v>
          </cell>
          <cell r="W125"/>
          <cell r="X125" t="str">
            <v>Within Budget</v>
          </cell>
          <cell r="Y125"/>
          <cell r="Z125" t="str">
            <v>Yes</v>
          </cell>
          <cell r="AA125"/>
          <cell r="AB125" t="str">
            <v>All deliverables met</v>
          </cell>
          <cell r="AC125"/>
          <cell r="AD125" t="str">
            <v>QCI conducted 5 site inspections and have submitted the reports for the inspected sites. QCI will be receiving additional work from the department and the site inspection shall be conducted periodically.</v>
          </cell>
          <cell r="AE125" t="str">
            <v>Follow up with cleint regarding the pending payment &amp; extension of the project. And informed the department for the remaining site inspections to be conducted</v>
          </cell>
          <cell r="AF125" t="str">
            <v>Conduct site inspections on the remaining villages</v>
          </cell>
          <cell r="AG125" t="str">
            <v>Delay in payment of works completed by the department after repeated reminders, meetings and letter from senior management</v>
          </cell>
        </row>
        <row r="126">
          <cell r="E126" t="str">
            <v>PP00250</v>
          </cell>
          <cell r="F126" t="str">
            <v>Income Based</v>
          </cell>
          <cell r="G126" t="str">
            <v>Nomination</v>
          </cell>
          <cell r="H126">
            <v>12076400</v>
          </cell>
          <cell r="I126" t="str">
            <v>Ongoing</v>
          </cell>
          <cell r="J126" t="str">
            <v>MoJS</v>
          </cell>
          <cell r="K126" t="str">
            <v>Water</v>
          </cell>
          <cell r="L126">
            <v>45610</v>
          </cell>
          <cell r="M126">
            <v>45730</v>
          </cell>
          <cell r="N126"/>
          <cell r="O126" t="str">
            <v>Report submitted. Under review.</v>
          </cell>
          <cell r="P126" t="str">
            <v>The Quality Council of India (QCI) was entrusted with assessing the quality of capacity-building trainings conducted under the Atal Bhujal Yojana (ABHY)—a flagship groundwater management program of the Ministry of Jal Shakti. The assessment covered training programs delivered at the Gram Panchayat (GP) level across 7 states: Gujarat, Haryana, Karnataka, Madhya Pradesh, Maharashtra, Rajasthan, and Uttar Pradesh.
The purpose of this exercise was to evaluate the effectiveness, inclusivity, content relevance, and impact of these trainings using structured tools and a multi-stakeholder approach. Feedback was collected from:
- Trainees (citizens)
- Facilitators
- Trainers
- Independent Assessors
The evaluation focused on six key Key Performance Indicators (KPIs):
1. Trainer competency and training content quality
2. Engagement and inclusivity during sessions
3. Training material and learning resources
4. Community outreach and post-training impact
5. Infrastructure and logistical arrangements
6. Feedback and success stories</v>
          </cell>
          <cell r="Q126" t="str">
            <v>TPI/TPA/TPE</v>
          </cell>
          <cell r="R126" t="str">
            <v>August</v>
          </cell>
          <cell r="S126"/>
          <cell r="T126"/>
          <cell r="U126" t="str">
            <v>Project is at its end of the Life-cycle only Report finalasiation is pending</v>
          </cell>
          <cell r="V126" t="str">
            <v>Behind Schedule</v>
          </cell>
          <cell r="W126" t="str">
            <v>Report has been shared and discussed with client minor feedbacks are been incoporated</v>
          </cell>
          <cell r="X126" t="str">
            <v>Within Budget</v>
          </cell>
          <cell r="Y126"/>
          <cell r="Z126" t="str">
            <v>Yes</v>
          </cell>
          <cell r="AA126" t="str">
            <v>70% Invoice has been raised.</v>
          </cell>
          <cell r="AB126" t="str">
            <v>All deliverables met</v>
          </cell>
          <cell r="AC126"/>
          <cell r="AD126" t="str">
            <v xml:space="preserve">Field Verification is currently on-going. More than 1600 GP assesments has been completed.
• High satisfaction among trainees: A large proportion of citizens reported the sessions to be relevant, engaging, and impactful, especially in understanding groundwater concepts and water budgeting.
• Content effectiveness: Trainers demonstrated strong subject knowledge, and the use of tools like groundwater maps, folk songs, and participatory discussions enhanced learning outcomes.
• Inclusivity and participation: Efforts to include women and marginalised groups were visible in several states, though improvement was suggested in ensuring consistent female participation across regions.
• Community-level impact: Many trainees reported taking up new roles (e.g., water ambassadors, resource persons), leading awareness campaigns, or helping develop water conservation plans in their villages.
• Logistical gaps identified: While states like Karnataka and Gujarat performed well in infrastructure, some states showed inconsistencies in venue setup, seating, and availability of materials.
• Scope for improvement: Recommendations included better alignment of training content with local challenges, increased use of vernacular materials, and improved post-training follow-up.
</v>
          </cell>
          <cell r="AE126" t="str">
            <v>As per the work order</v>
          </cell>
          <cell r="AF126"/>
          <cell r="AG126" t="str">
            <v>A revised Timeline for the project is required, As the number for trainings that QCI needs to assess is currently on-hold in a few states.</v>
          </cell>
        </row>
        <row r="127">
          <cell r="E127" t="str">
            <v>PP00251</v>
          </cell>
          <cell r="F127" t="str">
            <v>Income Based</v>
          </cell>
          <cell r="G127" t="str">
            <v>Nomination</v>
          </cell>
          <cell r="H127">
            <v>5300400</v>
          </cell>
          <cell r="I127" t="str">
            <v>Ongoing</v>
          </cell>
          <cell r="J127" t="str">
            <v>MoJS</v>
          </cell>
          <cell r="K127" t="str">
            <v>Water</v>
          </cell>
          <cell r="L127">
            <v>45610</v>
          </cell>
          <cell r="M127">
            <v>45730</v>
          </cell>
          <cell r="N127"/>
          <cell r="O127" t="str">
            <v>Report submitted. Under review.</v>
          </cell>
          <cell r="P127" t="str">
            <v xml:space="preserve">QCI collaborated as a third-party inspection body with the National Program Management Unit under the Ministry of Jal Shakti for a detailed evaluation of the scheme’s effectiveness in addressing groundwater management challenges and achieving its intended outcomes.
The project aims to evaluate the impact of the Atal Bhujal Yojana by assessing the awareness among local communities regarding water-efficient practices, community participation, and behavioral changes in groundwater management, as well as examining the adoption of sustainable water practices across seven states. </v>
          </cell>
          <cell r="Q127" t="str">
            <v>TPI/TPA/TPE</v>
          </cell>
          <cell r="R127" t="str">
            <v>August</v>
          </cell>
          <cell r="S127"/>
          <cell r="T127"/>
          <cell r="U127" t="str">
            <v>Project is at its last stage of operations, so a few key resources from impact assessment are mapped under this project</v>
          </cell>
          <cell r="V127" t="str">
            <v>Behind Schedule</v>
          </cell>
          <cell r="W127" t="str">
            <v>Assessments for gujurat is under process and at its final stages and report for 6 states has been shared with Client</v>
          </cell>
          <cell r="X127" t="str">
            <v>Within Budget</v>
          </cell>
          <cell r="Y127"/>
          <cell r="Z127" t="str">
            <v>Yes</v>
          </cell>
          <cell r="AA127" t="str">
            <v>20% Invoice has been raised.</v>
          </cell>
          <cell r="AB127" t="str">
            <v>All deliverables met</v>
          </cell>
          <cell r="AC127"/>
          <cell r="AD127" t="str">
            <v>All assessments have been completed. As of April 2025, the filed assessment has been completed and the preparation of final report is under progress.
• Assessed key output and outcome indicators, measuring its success in achieving physical and financial targets, and analysed its overall implementation effectiveness at the grassroots level.
• Evaluated the role of local institutions, stakeholder engagement, and the extent to which communities have embraced sustainable groundwater usage.
• Measured the Effectiveness of Program Interventions such as participatory water budgeting, demand-side management, and institutional strengthening in ensuring long-term sustainability.
• Identified best practices and success stories from high-performing Gram Panchayats</v>
          </cell>
          <cell r="AE127" t="str">
            <v>As per the work order</v>
          </cell>
          <cell r="AF127"/>
          <cell r="AG127"/>
        </row>
        <row r="128">
          <cell r="E128" t="str">
            <v>PP00252</v>
          </cell>
          <cell r="F128" t="str">
            <v>Income Based</v>
          </cell>
          <cell r="G128" t="str">
            <v>Tender</v>
          </cell>
          <cell r="H128">
            <v>3787840</v>
          </cell>
          <cell r="I128" t="str">
            <v>Completed</v>
          </cell>
          <cell r="J128" t="str">
            <v>Agra Municipal Corporation</v>
          </cell>
          <cell r="K128" t="str">
            <v xml:space="preserve">Sanitation </v>
          </cell>
          <cell r="L128">
            <v>45615</v>
          </cell>
          <cell r="M128">
            <v>45801</v>
          </cell>
          <cell r="N128"/>
          <cell r="O128"/>
          <cell r="P128"/>
          <cell r="Q128" t="str">
            <v>PMU/PMC</v>
          </cell>
          <cell r="R128">
            <v>45717</v>
          </cell>
          <cell r="S128">
            <v>0</v>
          </cell>
          <cell r="T128" t="str">
            <v>N/A</v>
          </cell>
          <cell r="U128" t="str">
            <v>Project Completed</v>
          </cell>
          <cell r="V128" t="str">
            <v>On Schedule</v>
          </cell>
          <cell r="W128"/>
          <cell r="X128" t="str">
            <v>Within Budget</v>
          </cell>
          <cell r="Y128"/>
          <cell r="Z128" t="str">
            <v>Yes</v>
          </cell>
          <cell r="AA128"/>
          <cell r="AB128" t="str">
            <v>All deliverables met</v>
          </cell>
          <cell r="AC128"/>
          <cell r="AD128" t="str">
            <v>The project significantly enhanced Agra Municipal Corporation’s preparedness for Swachh Survekshan by institutionalizing daily monitoring mechanisms and strengthening inter-departmental coordination. The deployment of the on-ground PMU enabled timely identification and resolution of operational gaps, improved data management, and ensured consistent field-level compliance with survey protocols. The full-scale mock Survekshan served as a practical stress test, allowing the ULB to fine-tune its strategy, improve documentation quality, and elevate citizen engagement efforts—ultimately leading to a more confident and structured approach toward the actual Swachh Survekshan.</v>
          </cell>
          <cell r="AE128" t="str">
            <v>Project Completed</v>
          </cell>
          <cell r="AF128"/>
          <cell r="AG128" t="str">
            <v>N/A</v>
          </cell>
        </row>
        <row r="129">
          <cell r="E129" t="str">
            <v>PP00253</v>
          </cell>
          <cell r="F129" t="str">
            <v>Income Based</v>
          </cell>
          <cell r="G129" t="str">
            <v>Nomination</v>
          </cell>
          <cell r="H129">
            <v>300000</v>
          </cell>
          <cell r="I129" t="str">
            <v>Completed</v>
          </cell>
          <cell r="J129" t="str">
            <v xml:space="preserve">U.P. Projects Corporation Limited </v>
          </cell>
          <cell r="K129" t="str">
            <v>Infrastructure</v>
          </cell>
          <cell r="L129">
            <v>45619</v>
          </cell>
          <cell r="M129">
            <v>45646</v>
          </cell>
          <cell r="N129">
            <v>45716</v>
          </cell>
          <cell r="O129"/>
          <cell r="P129" t="str">
            <v xml:space="preserve">QCI was entrusted to conduct a special technical investigation of the Government Inter College Mussoorie Ghaziabad which included structural analysis and NDTs.
</v>
          </cell>
          <cell r="Q129" t="str">
            <v>TPI/TPA/TPE</v>
          </cell>
          <cell r="R129">
            <v>45901</v>
          </cell>
          <cell r="S129">
            <v>0</v>
          </cell>
          <cell r="T129">
            <v>0</v>
          </cell>
          <cell r="U129"/>
          <cell r="V129" t="str">
            <v>On Schedule</v>
          </cell>
          <cell r="W129"/>
          <cell r="X129" t="str">
            <v>Within Budget</v>
          </cell>
          <cell r="Y129"/>
          <cell r="Z129" t="str">
            <v>Yes</v>
          </cell>
          <cell r="AA129"/>
          <cell r="AB129" t="str">
            <v>All deliverables met</v>
          </cell>
          <cell r="AC129"/>
          <cell r="AD129" t="str">
            <v xml:space="preserve">QCI conducted Non destructive test and collected sample for structural analysis for further technical investigation and submitted consolidated report to the client. </v>
          </cell>
          <cell r="AE129" t="str">
            <v>Awaiting final payment from client</v>
          </cell>
          <cell r="AF129"/>
          <cell r="AG129"/>
        </row>
        <row r="130">
          <cell r="E130" t="str">
            <v>PP00254</v>
          </cell>
          <cell r="F130" t="str">
            <v>Income Based</v>
          </cell>
          <cell r="G130" t="str">
            <v>Nomination</v>
          </cell>
          <cell r="H130">
            <v>20077200</v>
          </cell>
          <cell r="I130" t="str">
            <v>Ongoing</v>
          </cell>
          <cell r="J130" t="str">
            <v>Odisha State Civil Supplies Corporation (OSCSC)</v>
          </cell>
          <cell r="K130" t="str">
            <v>Food Security</v>
          </cell>
          <cell r="L130">
            <v>45621</v>
          </cell>
          <cell r="M130">
            <v>45752</v>
          </cell>
          <cell r="N130" t="str">
            <v>The revised date shall be determined based on the directions from MD, OSCSC and PPID Heads meeting with the client</v>
          </cell>
          <cell r="O130"/>
          <cell r="P130" t="str">
            <v xml:space="preserve">The project aims to ensure compliance with OSCSC and KMS operational standards across 1409 empaneled mills and 1,409 procurement centers in Odisha by conducting a verification of mills and spot checks at procurement centers. Quality Council of India (QCI) has partnered with OSCSC to paddy procurement centres, evaluating the availability of vital, essential, and desirable facilities that contribute to efficient and transparent procurement operations.
Additionally, QCI is supporting OSCSC in verifying:
• Physical stock reconciliation of paddy and rice stored at mills through on-ground verification.
• Energy consumption analysis for stock verification, ensuring accuracy in reported stock levels 
• Maturity assessment of empanelled mills, categorizing them into modernized, conventional, and semi-modern based on their infrastructure and milling practices.
</v>
          </cell>
          <cell r="Q130" t="str">
            <v>TPI/TPA/TPE</v>
          </cell>
          <cell r="R130" t="str">
            <v>August 4, 2025</v>
          </cell>
          <cell r="S130">
            <v>16</v>
          </cell>
          <cell r="T130">
            <v>11</v>
          </cell>
          <cell r="U130"/>
          <cell r="V130" t="str">
            <v>Behind Schedule</v>
          </cell>
          <cell r="W130" t="str">
            <v xml:space="preserve">May-June 
Under the directions of new MD, the scope of the work is going to be revised entrusting QCI with another level of verification of the PCs in Rabi season. Updated Proposal shared with OSCSC, WO awaited. Meeting b/w MD and PPID Head conducted on 23 May 2025 to expedite the process. 
Dec- Apr
Due to the volatile political climate and protests on ground, the assessment timeline is running  behind schedule. The verification of the mills is to be initiated.
</v>
          </cell>
          <cell r="X130" t="str">
            <v>Within Budget</v>
          </cell>
          <cell r="Y130"/>
          <cell r="Z130" t="str">
            <v>No</v>
          </cell>
          <cell r="AA130" t="str">
            <v xml:space="preserve">Visits at ~1400 Procurment Center completed for spot checks.  
Dashboard Developed for the data collected </v>
          </cell>
          <cell r="AB130" t="str">
            <v>Some deliverables met</v>
          </cell>
          <cell r="AC130"/>
          <cell r="AD130" t="str">
            <v>The physical verification helps with the gap analysis on ground compared to the self-declaration made by the PCs on PCSAP. OSCSC intends to move majority of its procurement centers from Level 2 and 3 to upward of Level 4.
Verification of the Mills completed with the objective of the grading them as per maturity level, and machinaries.</v>
          </cell>
          <cell r="AE130" t="str">
            <v>Closure of of  Verification at Mills exercise
Verifiation of total 1337 procurement centers</v>
          </cell>
          <cell r="AF130" t="str">
            <v>1. Submission of Interim Reports and initiate plan for upcoming season 
2. raise invoice</v>
          </cell>
          <cell r="AG130" t="str">
            <v>Long time for taking decisions for actions at cleint's end. The political climate and farmer protest is delaying the process.</v>
          </cell>
        </row>
        <row r="131">
          <cell r="E131" t="str">
            <v>PP00255</v>
          </cell>
          <cell r="F131" t="str">
            <v>Income Based</v>
          </cell>
          <cell r="G131" t="str">
            <v>Tender</v>
          </cell>
          <cell r="H131">
            <v>5428085.2699999996</v>
          </cell>
          <cell r="I131" t="str">
            <v>Ongoing</v>
          </cell>
          <cell r="J131" t="str">
            <v>NBCC INDIA LIMITED</v>
          </cell>
          <cell r="K131" t="str">
            <v>Infrastructure</v>
          </cell>
          <cell r="L131">
            <v>45424</v>
          </cell>
          <cell r="M131">
            <v>46173</v>
          </cell>
          <cell r="N131"/>
          <cell r="O131"/>
          <cell r="P131" t="str">
            <v>The objective of this project is to monitor, assess, and verify compliance with project specifications, standards, and regulations to ensure the successful, timely, and high-quality completion of the redevelopment. Additionally, the TPQMA will identify any implementation gaps and provide recommendations for improvements, ensuring continuous monitoring and the potential for expansion to meet evolving project needs.</v>
          </cell>
          <cell r="Q131" t="str">
            <v>TPQC</v>
          </cell>
          <cell r="R131">
            <v>45778</v>
          </cell>
          <cell r="S131">
            <v>3</v>
          </cell>
          <cell r="T131">
            <v>2</v>
          </cell>
          <cell r="U131" t="str">
            <v>As per Project Requirement</v>
          </cell>
          <cell r="V131" t="str">
            <v>On Schedule</v>
          </cell>
          <cell r="W131"/>
          <cell r="X131" t="str">
            <v>Within Budget</v>
          </cell>
          <cell r="Y131"/>
          <cell r="Z131" t="str">
            <v>Yes</v>
          </cell>
          <cell r="AA131"/>
          <cell r="AB131" t="str">
            <v>All deliverables met</v>
          </cell>
          <cell r="AC131"/>
          <cell r="AD131" t="str">
            <v>Inspection of redevelopment work at West Ansari Nagar AIIMS under Package-I/Part-I, New Delhi has commenced.</v>
          </cell>
          <cell r="AE131" t="str">
            <v>Monthly site inspection as per schedule</v>
          </cell>
          <cell r="AF131"/>
          <cell r="AG131"/>
        </row>
        <row r="132">
          <cell r="E132" t="str">
            <v>PP00256</v>
          </cell>
          <cell r="F132" t="str">
            <v>Income Based</v>
          </cell>
          <cell r="G132" t="str">
            <v>Nomination</v>
          </cell>
          <cell r="H132">
            <v>27360000</v>
          </cell>
          <cell r="I132" t="str">
            <v>Ongoing</v>
          </cell>
          <cell r="J132" t="str">
            <v>BIPARD</v>
          </cell>
          <cell r="K132" t="str">
            <v>Infrastructure</v>
          </cell>
          <cell r="L132">
            <v>45642</v>
          </cell>
          <cell r="M132">
            <v>46752</v>
          </cell>
          <cell r="N132" t="str">
            <v>-</v>
          </cell>
          <cell r="O132"/>
          <cell r="P132" t="str">
            <v>Quality Council of India (QCI) has established a dedicated Project Management Unit (PMU) at the Bihar Institute of Public Administration and Rural Development (BIPARD) to provide comprehensive technical, engineering, and strategic support. This initiative aims to enhance BIPARD’s institutional capacity by assisting in infrastructure planning, project execution, and technical consultations across various engineering domains. The PMU plays a crucial role in streamlining processes, improving operational efficiency, and ensuring high-quality outcomes in project implementation. The team, comprising highly experienced sector experts, brings deep domain knowledge in project management, quality assurance, and technical assessments. QCI provides guidance on best practices and ensures adherence to regulatory and quality standards. Through continuous engagement and expertise-driven interventions, the QCI PMU supports BIPARD in achieving its objectives, strengthening institutional frameworks, and fostering quality-focused development in public administration and rural governance.</v>
          </cell>
          <cell r="Q132" t="str">
            <v>PMU</v>
          </cell>
          <cell r="R132">
            <v>45901</v>
          </cell>
          <cell r="S132">
            <v>2</v>
          </cell>
          <cell r="T132">
            <v>2</v>
          </cell>
          <cell r="U132"/>
          <cell r="V132" t="str">
            <v>On Schedule</v>
          </cell>
          <cell r="W132"/>
          <cell r="X132" t="str">
            <v>Within Budget</v>
          </cell>
          <cell r="Y132"/>
          <cell r="Z132" t="str">
            <v>Yes</v>
          </cell>
          <cell r="AA132"/>
          <cell r="AB132" t="str">
            <v>All deliverables met</v>
          </cell>
          <cell r="AC132"/>
          <cell r="AD132" t="str">
            <v>QCI has undertaken tender drafting and evaluation. DPR drawings were vetted and reviewed. Daily maintenance activities were inspected and 800+ defects were found. The compliance work of these defects is under progress.</v>
          </cell>
          <cell r="AE132" t="str">
            <v>TPI on daily basis</v>
          </cell>
          <cell r="AF132"/>
          <cell r="AG132"/>
        </row>
        <row r="133">
          <cell r="E133" t="str">
            <v>PP00257</v>
          </cell>
          <cell r="F133" t="str">
            <v>Income Based</v>
          </cell>
          <cell r="G133" t="str">
            <v>Nomination</v>
          </cell>
          <cell r="H133">
            <v>21862400</v>
          </cell>
          <cell r="I133" t="str">
            <v>Booked under SPD from FY 2025-26</v>
          </cell>
          <cell r="J133" t="str">
            <v>Samagra Shiksha, Department of Education, AP</v>
          </cell>
          <cell r="K133" t="str">
            <v>Quality Assurance</v>
          </cell>
          <cell r="L133">
            <v>45631</v>
          </cell>
          <cell r="M133">
            <v>45813</v>
          </cell>
          <cell r="N133" t="str">
            <v>-</v>
          </cell>
          <cell r="O133" t="str">
            <v>-</v>
          </cell>
          <cell r="P133" t="str">
            <v>The Department of School Education onboarded QCI as a quality assurance partner to ensure that the procured products meet 100% compliance with the specified Indian Standards. This partnership is critical to guaranteeing that only quality products are delivered to the end beneficiaries, thereby maintaining trust and achieving the scheme's objectives.</v>
          </cell>
          <cell r="Q133" t="str">
            <v>TPI/PMU</v>
          </cell>
          <cell r="R133">
            <v>45751</v>
          </cell>
          <cell r="S133">
            <v>11</v>
          </cell>
          <cell r="T133">
            <v>15</v>
          </cell>
          <cell r="U133" t="str">
            <v>We have taken an overall hiring approval but the actual hiring was done as per the actual requirements of the project's workload</v>
          </cell>
          <cell r="V133" t="str">
            <v>On Schedule</v>
          </cell>
          <cell r="W133" t="str">
            <v>-</v>
          </cell>
          <cell r="X133" t="str">
            <v>Within Budget</v>
          </cell>
          <cell r="Y133" t="str">
            <v>-</v>
          </cell>
          <cell r="Z133" t="str">
            <v>Yes</v>
          </cell>
          <cell r="AA133" t="str">
            <v>-</v>
          </cell>
          <cell r="AB133" t="str">
            <v>All deliverables met</v>
          </cell>
          <cell r="AC133" t="str">
            <v>-</v>
          </cell>
          <cell r="AD133" t="str">
            <v xml:space="preserve">QCI has initiated the Phase I and Phase II of the project. For few of the vendors, the raw materials have been sampled and final testing reports have been sent out and for other, the finished product testing is under process.
</v>
          </cell>
          <cell r="AE133" t="str">
            <v>1. Induction of manufacturers to get familiarise with the process.
2. Phase I initiated and completed for few manufacturers.
3. Phase II initiate and completed for other manufacturers.</v>
          </cell>
          <cell r="AF133" t="str">
            <v>1. Complete Phase I and Phase II for all the manufacturers.
2. Initiate Phase III for selected manufacturers basis the comformity from Phase III</v>
          </cell>
          <cell r="AG133" t="str">
            <v xml:space="preserve">NA
</v>
          </cell>
        </row>
        <row r="134">
          <cell r="E134" t="str">
            <v>PP00258</v>
          </cell>
          <cell r="F134" t="str">
            <v>Income Based</v>
          </cell>
          <cell r="G134" t="str">
            <v>Tender</v>
          </cell>
          <cell r="H134">
            <v>1691200</v>
          </cell>
          <cell r="I134" t="str">
            <v>Completed</v>
          </cell>
          <cell r="J134" t="str">
            <v>Ministry of Labour &amp; Employment</v>
          </cell>
          <cell r="K134" t="str">
            <v>Social Impact</v>
          </cell>
          <cell r="L134">
            <v>45640</v>
          </cell>
          <cell r="M134" t="str">
            <v>30/05/2025</v>
          </cell>
          <cell r="N134">
            <v>45818</v>
          </cell>
          <cell r="O134" t="str">
            <v>Approval on reports by client</v>
          </cell>
          <cell r="P134" t="str">
            <v>To evaluate the impact of these schemes on targeted beneficiaries, sectors, and areas, conduct an output-outcome analysis, and assess implementation gaps by examining alignment with scheme design. Additionally, provide recommendations for improving implementation, continuing the schemes, and expanding their scope to cover additional sectors effectively.</v>
          </cell>
          <cell r="Q134" t="str">
            <v>TPI/TPA/TPE</v>
          </cell>
          <cell r="R134" t="str">
            <v>October 3, 2025</v>
          </cell>
          <cell r="S134">
            <v>0</v>
          </cell>
          <cell r="T134">
            <v>0</v>
          </cell>
          <cell r="U134" t="str">
            <v xml:space="preserve">Project Completed, only formalities related to closure to be done </v>
          </cell>
          <cell r="V134" t="str">
            <v>Behind Schedule</v>
          </cell>
          <cell r="W134" t="str">
            <v>Delay in approval of reports submitted to the Ministry</v>
          </cell>
          <cell r="X134" t="str">
            <v>Within Budget</v>
          </cell>
          <cell r="Y134"/>
          <cell r="Z134" t="str">
            <v>Yes</v>
          </cell>
          <cell r="AA134"/>
          <cell r="AB134" t="str">
            <v>All deliverables met</v>
          </cell>
          <cell r="AC134"/>
          <cell r="AD134" t="str">
            <v>Questionnaire and sampling methodology was developed for the impact assessment of the three schmes and the field assessment for all three schemes has been successfully completed. The evaluation report has been submitted to the client, and we are waiting for the final comments and approval on the report.</v>
          </cell>
          <cell r="AE134" t="str">
            <v>Hardcopies of Reports submitted</v>
          </cell>
          <cell r="AF134" t="str">
            <v>No deliverable</v>
          </cell>
          <cell r="AG134"/>
        </row>
        <row r="135">
          <cell r="E135" t="str">
            <v>PP00259</v>
          </cell>
          <cell r="F135" t="str">
            <v>Income Based</v>
          </cell>
          <cell r="G135" t="str">
            <v>Nomination</v>
          </cell>
          <cell r="H135">
            <v>37576134</v>
          </cell>
          <cell r="I135" t="str">
            <v>Ongoing</v>
          </cell>
          <cell r="J135" t="str">
            <v>FSSAI</v>
          </cell>
          <cell r="K135" t="str">
            <v>Food</v>
          </cell>
          <cell r="L135">
            <v>45691</v>
          </cell>
          <cell r="M135">
            <v>45803</v>
          </cell>
          <cell r="N135">
            <v>45913</v>
          </cell>
          <cell r="O135" t="str">
            <v>Based on the feedback from FSSAI, revisions are being done to the report. 4th time edits are being done.</v>
          </cell>
          <cell r="P135" t="str">
            <v>To address the concerns regarding the adulteration, declining quality, and misbranding of packaged edible oils sold in the Indian market, the Quality Council of India (QCI), conducted a comprehensive nationwide survey. The core objective of this survey was to assess the adherence of packaged edible oils to established quality, safety, and labelling standards across India. 
The project specifically aimed to:
• Evaluate adherence of packaged edible oils with the quality, safety, and labelling regulations as per the FSSR.
• Determine parameter-wise adherence of collected edible oil samples across different geographical regions of India. This involved the collection of samples from 12 edible oil product categories across 250 city/district(s) covering all 36 State/UT(s). The collected samples were tested for parameters including Adulterants, Crop Contaminants &amp; NOTS and General/Proximate Analysis, and Heavy Metals. Furthermore, the data were analysed to derive valuable insights.</v>
          </cell>
          <cell r="Q135" t="str">
            <v>TPI/TPA/TPE</v>
          </cell>
          <cell r="R135" t="str">
            <v>October 3, 2025</v>
          </cell>
          <cell r="S135">
            <v>6</v>
          </cell>
          <cell r="T135">
            <v>6</v>
          </cell>
          <cell r="U135" t="str">
            <v>Moved to other projects</v>
          </cell>
          <cell r="V135" t="str">
            <v>Behind Schedule</v>
          </cell>
          <cell r="W135" t="str">
            <v>Changes are being made to the report for the 4th time.</v>
          </cell>
          <cell r="X135" t="str">
            <v>Within Budget</v>
          </cell>
          <cell r="Y135"/>
          <cell r="Z135" t="str">
            <v>Yes</v>
          </cell>
          <cell r="AA135"/>
          <cell r="AB135" t="str">
            <v>All deliverables met</v>
          </cell>
          <cell r="AC135"/>
          <cell r="AD135" t="str">
            <v>Data-driven insights for targeted action: Providing FSSAI with actionable data to formulate targeted interventions, policy adjustments, and enforcement strategies to enhance the safety and quality of edible oils in the Indian market. 
Ranking: Rank State/UT(s) based on overall adherence/non-adherence in edible oil samples, to facilitate targeted regulatory interventions and corrective measures in high-risk regions.</v>
          </cell>
          <cell r="AE135" t="str">
            <v>1. Submitted the draft report
2. raised the final invoice</v>
          </cell>
          <cell r="AF135" t="str">
            <v>Submit the final report</v>
          </cell>
          <cell r="AG135" t="str">
            <v xml:space="preserve"> Dearth of quality and dedicated  professioanls (We are yet to receive a professional possessing strong report writing skills) </v>
          </cell>
        </row>
        <row r="136">
          <cell r="E136" t="str">
            <v>PP00260</v>
          </cell>
          <cell r="F136" t="str">
            <v>Income Based</v>
          </cell>
          <cell r="G136" t="str">
            <v>Nomination</v>
          </cell>
          <cell r="H136">
            <v>10416000</v>
          </cell>
          <cell r="I136" t="str">
            <v>Ongoing</v>
          </cell>
          <cell r="J136" t="str">
            <v>Ministry of Culture</v>
          </cell>
          <cell r="K136" t="str">
            <v>Arts, Culture &amp; Heritage</v>
          </cell>
          <cell r="L136">
            <v>45629</v>
          </cell>
          <cell r="M136">
            <v>45993</v>
          </cell>
          <cell r="N136"/>
          <cell r="O136"/>
          <cell r="P136" t="str">
            <v>The objective of the project is to setup a PMU to develop the drafts of a new policy and a new central sector scheme which addresses the needs of the Creative &amp; Cultural Economy of India, and targets arts &amp; culture practitioners.</v>
          </cell>
          <cell r="Q136" t="str">
            <v>PMU/PMC</v>
          </cell>
          <cell r="R136" t="str">
            <v>August</v>
          </cell>
          <cell r="S136">
            <v>3</v>
          </cell>
          <cell r="T136">
            <v>2</v>
          </cell>
          <cell r="U136" t="str">
            <v>1 resource has left the organisation</v>
          </cell>
          <cell r="V136" t="str">
            <v>On Schedule</v>
          </cell>
          <cell r="W136"/>
          <cell r="X136" t="str">
            <v>Within Budget</v>
          </cell>
          <cell r="Y136"/>
          <cell r="Z136" t="str">
            <v>Yes</v>
          </cell>
          <cell r="AA136"/>
          <cell r="AB136" t="str">
            <v>All deliverables met</v>
          </cell>
          <cell r="AC136"/>
          <cell r="AD136" t="str">
            <v>Prepared Deck and background note on MGMD for Standing Committee presentation, jointly working with IGNCA-NMCM team, MoPR and UWEUS to successfully conduct one day national event in November.</v>
          </cell>
          <cell r="AE136" t="str">
            <v>Varied according to client priorities</v>
          </cell>
          <cell r="AF136"/>
          <cell r="AG136" t="str">
            <v>Frequent changes at Secy. level led to a drastic shift in approach, which caused a lot of re-work for the team.</v>
          </cell>
        </row>
        <row r="137">
          <cell r="E137" t="str">
            <v>PP00261</v>
          </cell>
          <cell r="F137" t="str">
            <v>Income Based</v>
          </cell>
          <cell r="G137" t="str">
            <v>Nomination</v>
          </cell>
          <cell r="H137">
            <v>1512000</v>
          </cell>
          <cell r="I137" t="str">
            <v>Completed</v>
          </cell>
          <cell r="J137" t="str">
            <v>Department of Administrative Reforms and Public Grievances</v>
          </cell>
          <cell r="K137" t="str">
            <v>Governance</v>
          </cell>
          <cell r="L137">
            <v>45637</v>
          </cell>
          <cell r="M137">
            <v>45729</v>
          </cell>
          <cell r="N137">
            <v>45841</v>
          </cell>
          <cell r="O137" t="str">
            <v xml:space="preserve"> The project work order extension has been received</v>
          </cell>
          <cell r="P137" t="str">
            <v>The assessment was carried out using a structured framework covering key parameters such as technology deployed, human resource adequacy, maintenance practices, treatment efficiency, power backup systems, and compliance with discharge norms. This initiative supported evidence-based evaluation and highlighted systemic improvements required for optimized functioning of urban wastewater infrastructure.</v>
          </cell>
          <cell r="Q137" t="str">
            <v>PMU/PMC</v>
          </cell>
          <cell r="R137">
            <v>45689</v>
          </cell>
          <cell r="S137">
            <v>1</v>
          </cell>
          <cell r="T137"/>
          <cell r="U137"/>
          <cell r="V137" t="str">
            <v>On Schedule</v>
          </cell>
          <cell r="W137"/>
          <cell r="X137" t="str">
            <v>Within Budget</v>
          </cell>
          <cell r="Y137"/>
          <cell r="Z137" t="str">
            <v>Yes</v>
          </cell>
          <cell r="AA137"/>
          <cell r="AB137" t="str">
            <v>All deliverables met</v>
          </cell>
          <cell r="AC137"/>
          <cell r="AD137" t="str">
            <v>The project's objective was to support the DARPG team in hosting the IIAS-DARPG International Conference, which was successfully accomplished. Additionally, the achieved outcome involved acting as a nodal point for planning and executing actionable agendas prioritized by the Department.</v>
          </cell>
          <cell r="AE137" t="str">
            <v>Support the election campaign for the Presidency of IIAS, for which the Secretary of DARPG is a candidate. This support include the preparation of presentations, documentation, and other related materials</v>
          </cell>
          <cell r="AF137"/>
          <cell r="AG137" t="str">
            <v>N/A</v>
          </cell>
        </row>
        <row r="138">
          <cell r="E138" t="str">
            <v>PP00262</v>
          </cell>
          <cell r="F138" t="str">
            <v>Income Based</v>
          </cell>
          <cell r="G138" t="str">
            <v>Tender</v>
          </cell>
          <cell r="H138">
            <v>7169491.5300000003</v>
          </cell>
          <cell r="I138" t="str">
            <v>Ongoing</v>
          </cell>
          <cell r="J138" t="str">
            <v>Jamia Millia Islamia</v>
          </cell>
          <cell r="K138" t="str">
            <v>Infrastructure</v>
          </cell>
          <cell r="L138">
            <v>45639</v>
          </cell>
          <cell r="M138">
            <v>46003</v>
          </cell>
          <cell r="N138"/>
          <cell r="O138"/>
          <cell r="P138" t="str">
            <v>To ensure that all construction projects, including the Multistory Administrative Block, Academic Block for Health &amp; Allied Sciences, Teaching Block, Residential Staff Quarters, Hall of Residence, and Research &amp; Teaching Block, meet the required quality standards and specifications. QCI will independently inspect and monitor materials, methods, and finished work, ensuring compliance, identifying risks, and promoting transparency for successful project completion.</v>
          </cell>
          <cell r="Q138" t="str">
            <v>TPQA</v>
          </cell>
          <cell r="R138">
            <v>45778</v>
          </cell>
          <cell r="S138">
            <v>0</v>
          </cell>
          <cell r="T138">
            <v>0</v>
          </cell>
          <cell r="U138" t="str">
            <v>Resource mapped to another project</v>
          </cell>
          <cell r="V138" t="str">
            <v>On Schedule</v>
          </cell>
          <cell r="W138"/>
          <cell r="X138" t="str">
            <v>Within Budget</v>
          </cell>
          <cell r="Y138"/>
          <cell r="Z138" t="str">
            <v>Yes</v>
          </cell>
          <cell r="AA138"/>
          <cell r="AB138" t="str">
            <v>All deliverables met</v>
          </cell>
          <cell r="AC138"/>
          <cell r="AD138" t="str">
            <v>NA</v>
          </cell>
          <cell r="AE138" t="str">
            <v>Monthly site inspection as per schedule</v>
          </cell>
          <cell r="AF138"/>
          <cell r="AG138"/>
        </row>
        <row r="139">
          <cell r="E139" t="str">
            <v>PP00263</v>
          </cell>
          <cell r="F139" t="str">
            <v>Income Based</v>
          </cell>
          <cell r="G139" t="str">
            <v>Nomination</v>
          </cell>
          <cell r="H139" t="str">
            <v>Rs. 13,44,000 (Exlcuding Taxes) from 8th January to 7th May, 2025.</v>
          </cell>
          <cell r="I139" t="str">
            <v>Completed</v>
          </cell>
          <cell r="J139" t="str">
            <v>Department of Administrative Reforms and Public Grievances</v>
          </cell>
          <cell r="K139" t="str">
            <v>Governance</v>
          </cell>
          <cell r="L139">
            <v>45665</v>
          </cell>
          <cell r="M139">
            <v>45843</v>
          </cell>
          <cell r="N139" t="str">
            <v>-</v>
          </cell>
          <cell r="O139" t="str">
            <v>-</v>
          </cell>
          <cell r="P139" t="str">
            <v>Team to assist the Documentation &amp; Dissemination Division of DARPG in producing the documentary films, organize conferences, making of proceedings, speeches, etc.</v>
          </cell>
          <cell r="Q139" t="str">
            <v>PMU/PMC</v>
          </cell>
          <cell r="R139">
            <v>45925</v>
          </cell>
          <cell r="S139" t="str">
            <v>-</v>
          </cell>
          <cell r="T139" t="str">
            <v>-</v>
          </cell>
          <cell r="U139" t="str">
            <v>The engagement of the two QCI members under the Media PMU at DARPG has concluded, as the work order was valid until 7th May 2025.</v>
          </cell>
          <cell r="V139" t="str">
            <v>On Schedule</v>
          </cell>
          <cell r="W139" t="str">
            <v>The Media PMU has concluded on time, i.e., 7th May 2025, as per the work order.</v>
          </cell>
          <cell r="X139" t="str">
            <v>Within Budget</v>
          </cell>
          <cell r="Y139" t="str">
            <v>-</v>
          </cell>
          <cell r="Z139" t="str">
            <v>Yes</v>
          </cell>
          <cell r="AA139" t="str">
            <v>-</v>
          </cell>
          <cell r="AB139" t="str">
            <v>All deliverables met</v>
          </cell>
          <cell r="AC139" t="str">
            <v>-</v>
          </cell>
          <cell r="AD139" t="str">
            <v>- Streamlined coordination with ministries for collecting and curating PM Awards and DARPG achievement content.
- Delivered high-quality, reader-friendly booklets (Seva Aur Sushasan, 11 Years of DARPG, Coffee Table Book) through refined content and design.
- Enhanced event visibility by drafting targeted tweets for Civil Services Day outreach.
- Strengthened documentation for key initiatives (SCI, Aspirational Blocks, Holistic Development) through proofreading and formatting support.
- Improved institutional outreach with a compiled PM Awardees contact database.
- Contributed to strategic communication through brochures, presentations, and Chintan Shivir content.</v>
          </cell>
          <cell r="AE139" t="str">
            <v>-</v>
          </cell>
          <cell r="AF139" t="str">
            <v>-</v>
          </cell>
          <cell r="AG139" t="str">
            <v>The team was getting ad-hoc work from the department officials which does not come under the purview of PMU.</v>
          </cell>
        </row>
        <row r="140">
          <cell r="E140" t="str">
            <v>PP00265</v>
          </cell>
          <cell r="F140" t="str">
            <v>Income Based</v>
          </cell>
          <cell r="G140" t="str">
            <v>Nomination</v>
          </cell>
          <cell r="H140">
            <v>139539510</v>
          </cell>
          <cell r="I140" t="str">
            <v>Ongoing</v>
          </cell>
          <cell r="J140" t="str">
            <v>KPCL</v>
          </cell>
          <cell r="K140" t="str">
            <v>Coal</v>
          </cell>
          <cell r="L140">
            <v>45661</v>
          </cell>
          <cell r="M140">
            <v>46783</v>
          </cell>
          <cell r="N140"/>
          <cell r="O140"/>
          <cell r="P140" t="str">
            <v>We have been awarded work on nomination for Karnataka Power Corporation Limited (KPCL) for sampling, tesing and analysis of coal at all their plant ends</v>
          </cell>
          <cell r="Q140" t="str">
            <v>TPI/TPA/TPE</v>
          </cell>
          <cell r="R140" t="str">
            <v>April'25</v>
          </cell>
          <cell r="S140">
            <v>9</v>
          </cell>
          <cell r="T140">
            <v>8</v>
          </cell>
          <cell r="U140"/>
          <cell r="V140" t="str">
            <v>On Schedule</v>
          </cell>
          <cell r="W140"/>
          <cell r="X140" t="str">
            <v>Within Budget</v>
          </cell>
          <cell r="Y140"/>
          <cell r="Z140" t="str">
            <v>No</v>
          </cell>
          <cell r="AA140"/>
          <cell r="AB140" t="str">
            <v>All deliverables met</v>
          </cell>
          <cell r="AC140"/>
          <cell r="AD140" t="str">
            <v>A total of 3.64 MMT has been sampled since inception</v>
          </cell>
          <cell r="AE140" t="str">
            <v>A total of 0.46 MMT has been sampled this month</v>
          </cell>
          <cell r="AF140"/>
          <cell r="AG140"/>
        </row>
        <row r="141">
          <cell r="E141" t="str">
            <v>PP00266</v>
          </cell>
          <cell r="F141" t="str">
            <v>Income Based</v>
          </cell>
          <cell r="G141" t="str">
            <v>Tender</v>
          </cell>
          <cell r="H141">
            <v>8326080</v>
          </cell>
          <cell r="I141" t="str">
            <v>Ongoing</v>
          </cell>
          <cell r="J141" t="str">
            <v>Bhopal Municipal Corporation</v>
          </cell>
          <cell r="K141" t="str">
            <v xml:space="preserve">Sanitation </v>
          </cell>
          <cell r="L141">
            <v>45694</v>
          </cell>
          <cell r="M141">
            <v>46059</v>
          </cell>
          <cell r="N141"/>
          <cell r="O141"/>
          <cell r="P141" t="str">
            <v>The Quality Council of India (QCI) is currently engaged with Bhopal Municipal Corporation (BMC) as a City Technical Support Unit (CTSU) to provide strategic and operational support for the effective implementation of various centrally sponsored urban development schemes under the Ministry of Housing and Urban Affairs (MoHUA). This includes enhancing the city’s performance in areas such as water supply and sewerage management, improving sanitation infrastructure under the Swachh Bharat Mission-Urban (SBM-U), reducing non-revenue water through district metered areas (DMAs), and supporting the rejuvenation of traditional water bodies. QCI’s team works closely with BMC officials to monitor progress, ensure compliance with service level benchmarks, strengthen institutional capacity, and drive evidence-based decision-making through regular field validations, reporting, and inter-departmental coordination.</v>
          </cell>
          <cell r="Q141" t="str">
            <v>PMU/PMC</v>
          </cell>
          <cell r="R141">
            <v>45717</v>
          </cell>
          <cell r="S141">
            <v>4</v>
          </cell>
          <cell r="T141">
            <v>4</v>
          </cell>
          <cell r="U141" t="str">
            <v>N/A</v>
          </cell>
          <cell r="V141" t="str">
            <v>On Schedule</v>
          </cell>
          <cell r="W141"/>
          <cell r="X141" t="str">
            <v>Within Budget</v>
          </cell>
          <cell r="Y141"/>
          <cell r="Z141" t="str">
            <v>Yes</v>
          </cell>
          <cell r="AA141"/>
          <cell r="AB141" t="str">
            <v>All deliverables met</v>
          </cell>
          <cell r="AC141"/>
          <cell r="AD141" t="str">
            <v>Technial Support Unit has been setup for handholding of Bhopal in different strategic initiative</v>
          </cell>
          <cell r="AE141" t="str">
            <v>Roll out IEC Plan and imaplemetation of waste characterisation</v>
          </cell>
          <cell r="AF141" t="str">
            <v>Planned Field assessment for multiple indicators</v>
          </cell>
          <cell r="AG141" t="str">
            <v>N/A</v>
          </cell>
        </row>
        <row r="142">
          <cell r="E142" t="str">
            <v>PP00267</v>
          </cell>
          <cell r="F142" t="str">
            <v>Income Based</v>
          </cell>
          <cell r="G142" t="str">
            <v>Tender</v>
          </cell>
          <cell r="H142">
            <v>100171357</v>
          </cell>
          <cell r="I142" t="str">
            <v>Ongoing</v>
          </cell>
          <cell r="J142" t="str">
            <v>Ministry of Housing and Urban Affairs</v>
          </cell>
          <cell r="K142" t="str">
            <v xml:space="preserve">Sanitation </v>
          </cell>
          <cell r="L142">
            <v>45697</v>
          </cell>
          <cell r="M142">
            <v>46062</v>
          </cell>
          <cell r="N142"/>
          <cell r="O142"/>
          <cell r="P142" t="str">
            <v>As part of the Swachh Bharat Mission – Urban, the Ministry of Housing and Urban Affairs (MoHUA) has mandated third-party verification of claims made by Urban Local Bodies (ULBs) under the Open Defecation Free (ODF), ODF+/++, Water+, and Garbage Free City (GFC) protocols. The Quality Council of India (QCI) has been entrusted to conduct these assessments across the country.
This project involves deploying trained assessors to conduct comprehensive field-level evaluations of sanitation infrastructure, waste management practices, and community engagement in ULBs. The assessments are conducted through physical verification, stakeholder interactions, photographic documentation, and evidence-based validation of service delivery standards. The process ensures transparency, objectivity, and consistency in certifying cities and towns as ODF or GFC compliant, thereby supporting MoHUA’s vision of achieving sustainable urban sanitation and waste management.</v>
          </cell>
          <cell r="Q142" t="str">
            <v>TPI/TPA/TPE</v>
          </cell>
          <cell r="R142">
            <v>45717</v>
          </cell>
          <cell r="S142">
            <v>24</v>
          </cell>
          <cell r="T142">
            <v>22</v>
          </cell>
          <cell r="U142" t="str">
            <v>Resource Shuffling</v>
          </cell>
          <cell r="V142" t="str">
            <v>On Schedule</v>
          </cell>
          <cell r="W142"/>
          <cell r="X142" t="str">
            <v>Within Budget</v>
          </cell>
          <cell r="Y142"/>
          <cell r="Z142" t="str">
            <v>Yes</v>
          </cell>
          <cell r="AA142"/>
          <cell r="AB142" t="str">
            <v>All deliverables met</v>
          </cell>
          <cell r="AC142"/>
          <cell r="AD142" t="str">
            <v>Field Assessment of 4459 ULBs in ODF and 3580 in GFC has been completed</v>
          </cell>
          <cell r="AE142" t="str">
            <v>Updation of scoring matrix with Ministry IT</v>
          </cell>
          <cell r="AF142" t="str">
            <v>Updation of scoring matrix with Ministry IT and planning for upcoming assessment period</v>
          </cell>
          <cell r="AG142" t="str">
            <v>Empanelement of Ibs and assessor integrity issues on ground during the assessment</v>
          </cell>
        </row>
        <row r="143">
          <cell r="E143" t="str">
            <v>PP00268</v>
          </cell>
          <cell r="F143" t="str">
            <v>Income Based</v>
          </cell>
          <cell r="G143" t="str">
            <v>Nomination</v>
          </cell>
          <cell r="H143">
            <v>99200</v>
          </cell>
          <cell r="I143" t="str">
            <v>Fully Closed</v>
          </cell>
          <cell r="J143" t="str">
            <v>NLC India Limited</v>
          </cell>
          <cell r="K143" t="str">
            <v>Infrastructure</v>
          </cell>
          <cell r="L143">
            <v>45709</v>
          </cell>
          <cell r="M143">
            <v>46081</v>
          </cell>
          <cell r="N143"/>
          <cell r="O143"/>
          <cell r="P143" t="str">
            <v>We need to carry Non destructive testing of houses to assess their quality and structural stability. We have to give our reports to the client upon which client will decide the quality of structures.</v>
          </cell>
          <cell r="Q143" t="str">
            <v>TPQC</v>
          </cell>
          <cell r="R143">
            <v>45778</v>
          </cell>
          <cell r="S143">
            <v>0</v>
          </cell>
          <cell r="T143"/>
          <cell r="U143"/>
          <cell r="V143" t="str">
            <v>On Schedule</v>
          </cell>
          <cell r="W143"/>
          <cell r="X143" t="str">
            <v>Within Budget</v>
          </cell>
          <cell r="Y143"/>
          <cell r="Z143" t="str">
            <v>Yes</v>
          </cell>
          <cell r="AA143"/>
          <cell r="AB143" t="str">
            <v>All deliverables met</v>
          </cell>
          <cell r="AC143"/>
          <cell r="AD143" t="str">
            <v>NA</v>
          </cell>
          <cell r="AE143" t="str">
            <v>Not planned for next month</v>
          </cell>
          <cell r="AF143"/>
          <cell r="AG143"/>
        </row>
        <row r="144">
          <cell r="E144" t="str">
            <v>PP00269</v>
          </cell>
          <cell r="F144" t="str">
            <v>Income Based</v>
          </cell>
          <cell r="G144" t="str">
            <v>Nomination</v>
          </cell>
          <cell r="H144"/>
          <cell r="I144" t="str">
            <v>Ongoing</v>
          </cell>
          <cell r="J144" t="str">
            <v>SEPC Power Private Limited</v>
          </cell>
          <cell r="K144" t="str">
            <v>Coal</v>
          </cell>
          <cell r="L144">
            <v>45728</v>
          </cell>
          <cell r="M144">
            <v>49380</v>
          </cell>
          <cell r="N144"/>
          <cell r="O144"/>
          <cell r="P144" t="str">
            <v>Qualitative analysis of coal at port end of SEPC</v>
          </cell>
          <cell r="Q144" t="str">
            <v>TPI/TPA/TPE</v>
          </cell>
          <cell r="R144" t="str">
            <v>April'25</v>
          </cell>
          <cell r="S144">
            <v>2</v>
          </cell>
          <cell r="T144">
            <v>2</v>
          </cell>
          <cell r="U144"/>
          <cell r="V144" t="str">
            <v>On Schedule</v>
          </cell>
          <cell r="W144"/>
          <cell r="X144" t="str">
            <v>Within Budget</v>
          </cell>
          <cell r="Y144"/>
          <cell r="Z144" t="str">
            <v>Yes</v>
          </cell>
          <cell r="AA144" t="str">
            <v>Two invoices were raised in the month of april</v>
          </cell>
          <cell r="AB144" t="str">
            <v>All deliverables met</v>
          </cell>
          <cell r="AC144"/>
          <cell r="AD144" t="str">
            <v>A total of 2.39 MMT have been sampled since inception</v>
          </cell>
          <cell r="AE144" t="str">
            <v>A total of 0.15 MMT have been sampled this month</v>
          </cell>
          <cell r="AF144"/>
          <cell r="AG144"/>
        </row>
        <row r="145">
          <cell r="E145" t="str">
            <v>PP00270</v>
          </cell>
          <cell r="F145" t="str">
            <v>Income Based</v>
          </cell>
          <cell r="G145" t="str">
            <v>Nomination</v>
          </cell>
          <cell r="H145" t="str">
            <v>1,88,79,900 
(5th March - 16th August 2025)</v>
          </cell>
          <cell r="I145" t="str">
            <v>Ongoing</v>
          </cell>
          <cell r="J145" t="str">
            <v>MoHUA</v>
          </cell>
          <cell r="K145" t="str">
            <v>Social, Financial Inclsuion &amp; Identification of Vulnerable Occupational Groups</v>
          </cell>
          <cell r="L145">
            <v>45721</v>
          </cell>
          <cell r="M145">
            <v>45930</v>
          </cell>
          <cell r="N145">
            <v>45930</v>
          </cell>
          <cell r="O145" t="str">
            <v xml:space="preserve"> WO ext received till 16th Aug'25</v>
          </cell>
          <cell r="P145" t="str">
            <v xml:space="preserve">QCI is engaged as an implementation partner by Ministry of Housing &amp; Urban Affairs (MoHUA) for the development of technology tool (IT portal, dashboard, mobile application) under Mission of Urban Poverty Alleviation to conduct the socio-economic profiling of 2.5 Cr. urban poor households (HHs) in next 5 years in 4500+ ULBs with focused interventions with urban vulnerable groups - Construction Workers, Transport Workers, Gig Workers, Domestic Workers, Waste Workers, and Care Workers. 
The project aims to:
•	Enhance social security entitlement of urban poor HH
•	Promote financial inclusion for vulnerable groups post identification through socio-economic profiling 
•	Access to central &amp; state welfare schemes through single window system 
•	Create baseline data of urban poor HH </v>
          </cell>
          <cell r="Q145" t="str">
            <v>PMU/PMC</v>
          </cell>
          <cell r="R145" t="str">
            <v>August</v>
          </cell>
          <cell r="S145">
            <v>4</v>
          </cell>
          <cell r="T145">
            <v>4</v>
          </cell>
          <cell r="U145" t="str">
            <v>-</v>
          </cell>
          <cell r="V145" t="str">
            <v>On Schedule</v>
          </cell>
          <cell r="W145" t="str">
            <v>N/A</v>
          </cell>
          <cell r="X145" t="str">
            <v>Within Budget</v>
          </cell>
          <cell r="Y145" t="str">
            <v>N/A</v>
          </cell>
          <cell r="Z145" t="str">
            <v>Yes</v>
          </cell>
          <cell r="AA145" t="str">
            <v>N/A</v>
          </cell>
          <cell r="AB145" t="str">
            <v>All deliverables met</v>
          </cell>
          <cell r="AC145" t="str">
            <v>N/A</v>
          </cell>
          <cell r="AD145" t="str">
            <v xml:space="preserve">QCI is an implementation partner of the Convergence component under the New Mission for Urban Poverty Alleviation. QCI has developed a web portal, public dashboard, and Android mobile application to capture and reflect the profiling data &amp; scheme linkages under nine central welfare schemes. To date, 1,59,609 urban poor households with 3,26,669 family members have been profiled since Sept'25. The scheme linkages process has also been initiated by MoHUA in the month of June'25 and the scheme benefits will be sanctioned by the nodal officers of the line ministries/ depts. To the eligible profiled members. QCI has integrated ‘Image Recognition Artificial intelligence’ with the ‘Convergence’ portal for capturing and validating photographs of household members during profiling. The IT portal is also integrated with Aadhaar validation. </v>
          </cell>
          <cell r="AE145" t="str">
            <v xml:space="preserve">The scheme linkages will be initiated in additional 23 cities during the given month. </v>
          </cell>
          <cell r="AF145"/>
          <cell r="AG145" t="str">
            <v xml:space="preserve">Awaiting for WO from 17th Aug - 30th Sept 2025. </v>
          </cell>
        </row>
        <row r="146">
          <cell r="E146" t="str">
            <v>PP00271</v>
          </cell>
          <cell r="F146" t="str">
            <v>Income Based</v>
          </cell>
          <cell r="G146" t="str">
            <v>Nomination</v>
          </cell>
          <cell r="H146">
            <v>1036000</v>
          </cell>
          <cell r="I146" t="str">
            <v>Ongoing</v>
          </cell>
          <cell r="J146" t="str">
            <v>Gujtour Development Company Ltd</v>
          </cell>
          <cell r="K146" t="str">
            <v>Tourism</v>
          </cell>
          <cell r="L146" t="str">
            <v>15/2/2025</v>
          </cell>
          <cell r="M146">
            <v>45809</v>
          </cell>
          <cell r="N146"/>
          <cell r="O146" t="str">
            <v>Organisational structure submitted. Under review.</v>
          </cell>
          <cell r="P146" t="str">
            <v>GujTour has engaged QCI to undertake a comprehensive organizational structuring. The primary objective is to create an organisation structure to make GujTour a master aggregator.This includes benchmarking against similar organizations, streamlining manpower allocation, and recommending strategies for improved operational efficiency and stakeholder management.</v>
          </cell>
          <cell r="Q146" t="str">
            <v>TPI/TPA/TPE</v>
          </cell>
          <cell r="R146" t="str">
            <v>August</v>
          </cell>
          <cell r="S146">
            <v>0</v>
          </cell>
          <cell r="T146">
            <v>0</v>
          </cell>
          <cell r="U146"/>
          <cell r="V146" t="str">
            <v>On Schedule</v>
          </cell>
          <cell r="W146"/>
          <cell r="X146" t="str">
            <v>Within Budget</v>
          </cell>
          <cell r="Y146"/>
          <cell r="Z146" t="str">
            <v>Yes</v>
          </cell>
          <cell r="AA146"/>
          <cell r="AB146" t="str">
            <v>All deliverables met</v>
          </cell>
          <cell r="AC146"/>
          <cell r="AD146" t="str">
            <v>The organogram has been submitted to the client</v>
          </cell>
          <cell r="AE146" t="str">
            <v>Final presentation to the client along with submission of final structure</v>
          </cell>
          <cell r="AF146" t="str">
            <v>Submission of Structure to the client</v>
          </cell>
          <cell r="AG146"/>
        </row>
        <row r="147">
          <cell r="E147" t="str">
            <v>PP00272</v>
          </cell>
          <cell r="F147" t="str">
            <v>Income Based</v>
          </cell>
          <cell r="G147" t="str">
            <v>Nomination</v>
          </cell>
          <cell r="H147">
            <v>2150400</v>
          </cell>
          <cell r="I147" t="str">
            <v>Ongoing</v>
          </cell>
          <cell r="J147" t="str">
            <v>MHA</v>
          </cell>
          <cell r="K147"/>
          <cell r="L147">
            <v>45795</v>
          </cell>
          <cell r="M147">
            <v>46081</v>
          </cell>
          <cell r="N147"/>
          <cell r="O147"/>
          <cell r="P147"/>
          <cell r="Q147"/>
          <cell r="R147"/>
          <cell r="S147"/>
          <cell r="T147"/>
          <cell r="U147"/>
          <cell r="V147" t="str">
            <v>On Schedule</v>
          </cell>
          <cell r="W147"/>
          <cell r="X147" t="str">
            <v>Within Budget</v>
          </cell>
          <cell r="Y147"/>
          <cell r="Z147" t="str">
            <v>Yes</v>
          </cell>
          <cell r="AA147"/>
          <cell r="AB147" t="str">
            <v>All deliverables met</v>
          </cell>
          <cell r="AC147"/>
          <cell r="AD147"/>
          <cell r="AE147"/>
          <cell r="AF147"/>
          <cell r="AG147"/>
        </row>
        <row r="148">
          <cell r="E148" t="str">
            <v>PP00273</v>
          </cell>
          <cell r="F148" t="str">
            <v>Income Based</v>
          </cell>
          <cell r="G148" t="str">
            <v>Nomination</v>
          </cell>
          <cell r="H148">
            <v>10886400</v>
          </cell>
          <cell r="I148" t="str">
            <v>Ongoing</v>
          </cell>
          <cell r="J148" t="str">
            <v>Ministry of Culture</v>
          </cell>
          <cell r="K148" t="str">
            <v>Arts, Culture &amp; Heritage</v>
          </cell>
          <cell r="L148">
            <v>45748</v>
          </cell>
          <cell r="M148">
            <v>46112</v>
          </cell>
          <cell r="N148"/>
          <cell r="O148"/>
          <cell r="P148" t="str">
            <v>The Quality Council of India through its diagnostic study of the organizations and Central Sector Schemes provided detailed recommendations to the Ministry to streamline and reorient the schemes to optimize resources for maximum impact and help the Ministry align its schemes with its broader mission. In order to streamline the monitoring &amp; management of schemes under the Performing Arts bureau and implement select recommendations, the Ministry of Culture requested the Quality Council of India to set up a Project Management Unit (PMU). 
Professionals working in the PMU will ensure timely delivery of tasks and primarily work on the areas as defined by the officials in charge at the PM Division, Ministry of Culture.</v>
          </cell>
          <cell r="Q148" t="str">
            <v>PMU/PMC</v>
          </cell>
          <cell r="R148" t="str">
            <v>August</v>
          </cell>
          <cell r="S148">
            <v>5</v>
          </cell>
          <cell r="T148">
            <v>5</v>
          </cell>
          <cell r="U148"/>
          <cell r="V148" t="str">
            <v>On Schedule</v>
          </cell>
          <cell r="W148"/>
          <cell r="X148" t="str">
            <v>Within Budget</v>
          </cell>
          <cell r="Y148"/>
          <cell r="Z148" t="str">
            <v>Yes</v>
          </cell>
          <cell r="AA148"/>
          <cell r="AB148" t="str">
            <v>All deliverables met</v>
          </cell>
          <cell r="AC148"/>
          <cell r="AD148"/>
          <cell r="AE148" t="str">
            <v>Varied according to client priorities
The team is currently involved in the preparation of EFC notes.</v>
          </cell>
          <cell r="AF148"/>
          <cell r="AG148"/>
        </row>
        <row r="149">
          <cell r="E149" t="str">
            <v>PP00274</v>
          </cell>
          <cell r="F149" t="str">
            <v>Income Based</v>
          </cell>
          <cell r="G149" t="str">
            <v>Nomination</v>
          </cell>
          <cell r="H149">
            <v>337500</v>
          </cell>
          <cell r="I149" t="str">
            <v>Ongoing</v>
          </cell>
          <cell r="J149" t="str">
            <v>Kanpur Electricity Supply Company</v>
          </cell>
          <cell r="K149" t="str">
            <v>Infrastructure</v>
          </cell>
          <cell r="L149">
            <v>45737</v>
          </cell>
          <cell r="M149">
            <v>46102</v>
          </cell>
          <cell r="N149"/>
          <cell r="O149"/>
          <cell r="P149" t="str">
            <v>Testing and valuation of Scrap Transformers in the workshops of Kesco</v>
          </cell>
          <cell r="Q149" t="str">
            <v>TPI/TPA/TPE</v>
          </cell>
          <cell r="R149">
            <v>45809</v>
          </cell>
          <cell r="S149">
            <v>0</v>
          </cell>
          <cell r="T149">
            <v>0</v>
          </cell>
          <cell r="U149"/>
          <cell r="V149" t="str">
            <v>On Schedule</v>
          </cell>
          <cell r="W149"/>
          <cell r="X149" t="str">
            <v>Within Budget</v>
          </cell>
          <cell r="Y149"/>
          <cell r="Z149" t="str">
            <v>Yes</v>
          </cell>
          <cell r="AA149"/>
          <cell r="AB149" t="str">
            <v>All deliverables met</v>
          </cell>
          <cell r="AC149"/>
          <cell r="AD149"/>
          <cell r="AE149" t="str">
            <v>Monthly site inspection as per schedule</v>
          </cell>
          <cell r="AF149"/>
          <cell r="AG149"/>
        </row>
        <row r="150">
          <cell r="E150" t="str">
            <v>PP00275</v>
          </cell>
          <cell r="F150" t="str">
            <v>Income Based</v>
          </cell>
          <cell r="G150" t="str">
            <v>Nomination</v>
          </cell>
          <cell r="H150">
            <v>1350240</v>
          </cell>
          <cell r="I150" t="str">
            <v>Ongoing</v>
          </cell>
          <cell r="J150" t="str">
            <v>Nagar Nigam Mathura Vrindavan</v>
          </cell>
          <cell r="K150" t="str">
            <v>Infrastructure</v>
          </cell>
          <cell r="L150">
            <v>45734</v>
          </cell>
          <cell r="M150">
            <v>46191</v>
          </cell>
          <cell r="N150"/>
          <cell r="O150"/>
          <cell r="P150" t="str">
            <v>Quality Inspection of re development of Govindpur Road under CM-GRID scheme in the city of Mathura-Vrindavan</v>
          </cell>
          <cell r="Q150" t="str">
            <v>TPI/TPA/TPE</v>
          </cell>
          <cell r="R150">
            <v>45809</v>
          </cell>
          <cell r="S150">
            <v>1</v>
          </cell>
          <cell r="T150">
            <v>1</v>
          </cell>
          <cell r="U150"/>
          <cell r="V150" t="str">
            <v>On Schedule</v>
          </cell>
          <cell r="W150"/>
          <cell r="X150" t="str">
            <v>Within Budget</v>
          </cell>
          <cell r="Y150"/>
          <cell r="Z150" t="str">
            <v>Yes</v>
          </cell>
          <cell r="AA150"/>
          <cell r="AB150" t="str">
            <v>All deliverables met</v>
          </cell>
          <cell r="AC150"/>
          <cell r="AD150"/>
          <cell r="AE150" t="str">
            <v>Monthly site inspection as per schedule</v>
          </cell>
          <cell r="AF150"/>
          <cell r="AG150"/>
        </row>
        <row r="151">
          <cell r="E151" t="str">
            <v>PP00276</v>
          </cell>
          <cell r="F151" t="str">
            <v>Income Based</v>
          </cell>
          <cell r="G151" t="str">
            <v>Tender</v>
          </cell>
          <cell r="H151">
            <v>26100000</v>
          </cell>
          <cell r="I151" t="str">
            <v>Ongoing</v>
          </cell>
          <cell r="J151" t="str">
            <v xml:space="preserve">Barelley Development Authority </v>
          </cell>
          <cell r="K151" t="str">
            <v>Infrastructure</v>
          </cell>
          <cell r="L151">
            <v>45741</v>
          </cell>
          <cell r="M151">
            <v>46471</v>
          </cell>
          <cell r="N151"/>
          <cell r="O151"/>
          <cell r="P151" t="str">
            <v xml:space="preserve">Quality Assurance of Developmental works of Civil, Electrical and Mechanical works in the city of Barelley </v>
          </cell>
          <cell r="Q151" t="str">
            <v>TPI/TPA/TPE</v>
          </cell>
          <cell r="R151">
            <v>45809</v>
          </cell>
          <cell r="S151">
            <v>5</v>
          </cell>
          <cell r="T151">
            <v>3</v>
          </cell>
          <cell r="U151" t="str">
            <v>As per Project Requirement</v>
          </cell>
          <cell r="V151" t="str">
            <v>On Schedule</v>
          </cell>
          <cell r="W151"/>
          <cell r="X151" t="str">
            <v>Within Budget</v>
          </cell>
          <cell r="Y151"/>
          <cell r="Z151" t="str">
            <v>Yes</v>
          </cell>
          <cell r="AA151"/>
          <cell r="AB151" t="str">
            <v>All deliverables met</v>
          </cell>
          <cell r="AC151"/>
          <cell r="AD151"/>
          <cell r="AE151" t="str">
            <v>Monthly site inspection as per schedule</v>
          </cell>
          <cell r="AF151"/>
          <cell r="AG151"/>
        </row>
        <row r="152">
          <cell r="E152" t="str">
            <v>PP00277</v>
          </cell>
          <cell r="F152" t="str">
            <v>Income Based</v>
          </cell>
          <cell r="G152" t="str">
            <v>Nomination</v>
          </cell>
          <cell r="H152" t="str">
            <v xml:space="preserve">Rs. 66,24,800 </v>
          </cell>
          <cell r="I152" t="str">
            <v>Ongoing</v>
          </cell>
          <cell r="J152" t="str">
            <v>Government of Maharashtra</v>
          </cell>
          <cell r="K152" t="str">
            <v>Governance</v>
          </cell>
          <cell r="L152">
            <v>45748</v>
          </cell>
          <cell r="M152">
            <v>45808</v>
          </cell>
          <cell r="N152" t="str">
            <v>-</v>
          </cell>
          <cell r="O152" t="str">
            <v>-</v>
          </cell>
          <cell r="P152" t="str">
            <v xml:space="preserve">•	QCI will conduct their final evaluation post the initial shortlisting conducted by the Government of Maharashtra
•	The evaluation will include Desktop Assessment, Field Assessment, Officials’ Interviews, Jury Evaluation for 53 offices in Phase 1 – Offices include District Collectors, Zilla Parishad CEOs, Divisional Commissioners, Municipal Commissioners, Superintendents of Police, Police Range IGs/DIGs, Police Commissioners, Commissioners/Directors, All Departments, ACS/PS/Sec
•	The evaluation will include Desktop Assessment, Field Assessment, Officials’ Interviews (for 8 Offices), Jury Evaluation for 458 offices in Phase 2 – Offices include District level offices, Divisional level offices, Corporations/Authorities </v>
          </cell>
          <cell r="Q152" t="str">
            <v>TPI/TPA/TPE</v>
          </cell>
          <cell r="R152" t="str">
            <v>Jun'25</v>
          </cell>
          <cell r="S152"/>
          <cell r="T152"/>
          <cell r="U152" t="str">
            <v>Phase 2 will begin in May 2025, thus number of professionals to be increased</v>
          </cell>
          <cell r="V152" t="str">
            <v>On Schedule</v>
          </cell>
          <cell r="W152" t="str">
            <v>-</v>
          </cell>
          <cell r="X152" t="str">
            <v>Within Budget</v>
          </cell>
          <cell r="Y152" t="str">
            <v>-</v>
          </cell>
          <cell r="Z152" t="str">
            <v>Yes</v>
          </cell>
          <cell r="AA152" t="str">
            <v>-</v>
          </cell>
          <cell r="AB152" t="str">
            <v>All deliverables met</v>
          </cell>
          <cell r="AC152" t="str">
            <v>-</v>
          </cell>
          <cell r="AD152" t="str">
            <v>The Phase 1 Ranking of Offices in the Government of Maharashtra has been submitted to the client. The top rankers of the 9 type of offices i.e. District Collector offices, Zilla Parishad offices, District Superintendent of Police offices, Municipal Corporations, Police Commissionerates, Divisional Commissionerates, Inspector General of Police offices, state-level Commissionerates / Directorates, and all Departments has been released by the Hon. CM of Maharashtra on 1st May (Maharashtra Day) 2025
The Phase 2 Ranking of Offices in the Govt of Maharashtra were released on 16th and 22nd May of Corporations, Division and District Level Offices.</v>
          </cell>
          <cell r="AE152" t="str">
            <v>Final Report has been submitted. 150 days preparation is ongoing</v>
          </cell>
          <cell r="AF152"/>
          <cell r="AG152" t="str">
            <v>Timeline for assessment is too short for all offices. The shortlisted offices for evaluation is shared by the client 1 day prior to the date of commencement of assessment.</v>
          </cell>
        </row>
        <row r="153">
          <cell r="E153" t="str">
            <v>PP00278</v>
          </cell>
          <cell r="F153" t="str">
            <v>Income Based</v>
          </cell>
          <cell r="G153" t="str">
            <v>Nomination</v>
          </cell>
          <cell r="H153">
            <v>1355932</v>
          </cell>
          <cell r="I153" t="str">
            <v>Completed</v>
          </cell>
          <cell r="J153" t="str">
            <v>Roads &amp; Buildings Department , Gujarat</v>
          </cell>
          <cell r="K153" t="str">
            <v>R&amp;B</v>
          </cell>
          <cell r="L153">
            <v>45768</v>
          </cell>
          <cell r="M153">
            <v>45798</v>
          </cell>
          <cell r="N153"/>
          <cell r="O153" t="str">
            <v>Report submitted. Feedback pending on the client's end.</v>
          </cell>
          <cell r="P153" t="str">
            <v>The R&amp;B Department has engaged QCI to conduct a pilot assessment of guest houses in Ahmedabad. The objective is to evaluate their current condition, identify challenges and bottlenecks, and develop a Standard Operating Procedure (SOP) to align them with industry standards.</v>
          </cell>
          <cell r="Q153" t="str">
            <v>TPI/TPA/TPE</v>
          </cell>
          <cell r="R153" t="str">
            <v>July</v>
          </cell>
          <cell r="S153">
            <v>3</v>
          </cell>
          <cell r="T153">
            <v>3</v>
          </cell>
          <cell r="U153"/>
          <cell r="V153" t="str">
            <v>On Schedule</v>
          </cell>
          <cell r="W153"/>
          <cell r="X153" t="str">
            <v>Within Budget</v>
          </cell>
          <cell r="Y153"/>
          <cell r="Z153" t="str">
            <v>Yes</v>
          </cell>
          <cell r="AA153"/>
          <cell r="AB153" t="str">
            <v>All deliverables met</v>
          </cell>
          <cell r="AC153"/>
          <cell r="AD153" t="str">
            <v>As part of a pilot project covering three R&amp;B State Guest Houses in Ahmedabad, QCI conducted a comprehensive assessment to identify gaps in infrastructure, service quality, hygiene, and safety. Based on the findings, QCI developed tailored recommendations and Standard Operating Procedures (SOPs) to streamline operations, enhance guest experience.</v>
          </cell>
          <cell r="AE153"/>
          <cell r="AF153"/>
          <cell r="AG153"/>
        </row>
        <row r="154">
          <cell r="E154" t="str">
            <v>PP00279</v>
          </cell>
          <cell r="F154" t="str">
            <v>Income Based</v>
          </cell>
          <cell r="G154" t="str">
            <v>Tender</v>
          </cell>
          <cell r="H154">
            <v>1690964</v>
          </cell>
          <cell r="I154" t="str">
            <v>Ongoing</v>
          </cell>
          <cell r="J154" t="str">
            <v>Directorate of Evaluation (DoE), Govt. of Gujarat</v>
          </cell>
          <cell r="K154" t="str">
            <v>Irrigation</v>
          </cell>
          <cell r="L154">
            <v>45775</v>
          </cell>
          <cell r="M154">
            <v>45941</v>
          </cell>
          <cell r="N154">
            <v>45971</v>
          </cell>
          <cell r="O154" t="str">
            <v>Due to Local Panchayat Election</v>
          </cell>
          <cell r="P154" t="str">
            <v>The evaluation will focus on assessing the success of the scheme in achieving its objectives in Gujarat, examining the outcomes, implementation efficiency, and measuring the overall impact of the scheme with following scope of work:
# Assessment of the effectiveness of the scheme in achieving the set targets.
# Identifying challenges in implementation and recommend improvements.
# Impact assessment on the socio-economic status of the beneficiaries of the scheme/ programme.
# Budget Allocation vs Budget Utilization across districts for at least last 5 years.</v>
          </cell>
          <cell r="Q154" t="str">
            <v>TPI/TPA/TPE</v>
          </cell>
          <cell r="R154">
            <v>45930</v>
          </cell>
          <cell r="S154">
            <v>3</v>
          </cell>
          <cell r="T154">
            <v>3</v>
          </cell>
          <cell r="U154"/>
          <cell r="V154" t="str">
            <v>On Schedule</v>
          </cell>
          <cell r="W154"/>
          <cell r="X154" t="str">
            <v>Within Budget</v>
          </cell>
          <cell r="Y154"/>
          <cell r="Z154" t="str">
            <v>Yes</v>
          </cell>
          <cell r="AA154"/>
          <cell r="AB154" t="str">
            <v>All deliverables met</v>
          </cell>
          <cell r="AC154"/>
          <cell r="AD154" t="str">
            <v>Primary Survey Completed</v>
          </cell>
          <cell r="AE154" t="str">
            <v>Completion of Primary Assessment</v>
          </cell>
          <cell r="AF154" t="str">
            <v>Draft Report</v>
          </cell>
          <cell r="AG154" t="str">
            <v>Revision in timelines due to model code coduct and delay in approval from respective nodel authorities (due to evolving requirements of DoE, Gujarat)..</v>
          </cell>
        </row>
        <row r="155">
          <cell r="E155" t="str">
            <v>PP00280</v>
          </cell>
          <cell r="F155" t="str">
            <v>Income Based</v>
          </cell>
          <cell r="G155" t="str">
            <v>Tender</v>
          </cell>
          <cell r="H155">
            <v>3178200</v>
          </cell>
          <cell r="I155" t="str">
            <v>Ongoing</v>
          </cell>
          <cell r="J155" t="str">
            <v>Kanpur Electricity Supply Company</v>
          </cell>
          <cell r="K155" t="str">
            <v>Infrastructure</v>
          </cell>
          <cell r="L155">
            <v>45754</v>
          </cell>
          <cell r="M155">
            <v>46480</v>
          </cell>
          <cell r="N155"/>
          <cell r="O155"/>
          <cell r="P155" t="str">
            <v>Thirs Party Inspection of System Development and Strengthening works under KESCo</v>
          </cell>
          <cell r="Q155" t="str">
            <v>TPI/TPA/TPE</v>
          </cell>
          <cell r="R155">
            <v>45809</v>
          </cell>
          <cell r="S155">
            <v>0</v>
          </cell>
          <cell r="T155">
            <v>0</v>
          </cell>
          <cell r="U155"/>
          <cell r="V155" t="str">
            <v>On Schedule</v>
          </cell>
          <cell r="W155"/>
          <cell r="X155" t="str">
            <v>Within Budget</v>
          </cell>
          <cell r="Y155"/>
          <cell r="Z155" t="str">
            <v>Yes</v>
          </cell>
          <cell r="AA155"/>
          <cell r="AB155" t="str">
            <v>All deliverables met</v>
          </cell>
          <cell r="AC155"/>
          <cell r="AD155"/>
          <cell r="AE155" t="str">
            <v>Monthly site inspection as per schedule</v>
          </cell>
          <cell r="AF155"/>
          <cell r="AG155"/>
        </row>
        <row r="156">
          <cell r="E156" t="str">
            <v>PP00281</v>
          </cell>
          <cell r="F156" t="str">
            <v>Income Based</v>
          </cell>
          <cell r="G156" t="str">
            <v>Tender</v>
          </cell>
          <cell r="H156">
            <v>1705000</v>
          </cell>
          <cell r="I156" t="str">
            <v>Ongoing</v>
          </cell>
          <cell r="J156" t="str">
            <v>NIUA</v>
          </cell>
          <cell r="K156" t="str">
            <v>Water suply</v>
          </cell>
          <cell r="L156">
            <v>45775</v>
          </cell>
          <cell r="M156">
            <v>45836</v>
          </cell>
          <cell r="N156"/>
          <cell r="O156" t="str">
            <v>The project has been completed, all data has been submitted to the client, and the first payment has been received.</v>
          </cell>
          <cell r="P156" t="str">
            <v>Verification of Pre-construction, Under-construction and Constructed projects across 167 ULBs under AMRUT 2.0</v>
          </cell>
          <cell r="Q156" t="str">
            <v>TPI/TPA/TPE</v>
          </cell>
          <cell r="R156" t="str">
            <v>August</v>
          </cell>
          <cell r="S156">
            <v>5</v>
          </cell>
          <cell r="T156">
            <v>4</v>
          </cell>
          <cell r="U156"/>
          <cell r="V156" t="str">
            <v>On Schedule</v>
          </cell>
          <cell r="W156"/>
          <cell r="X156" t="str">
            <v>Within Budget</v>
          </cell>
          <cell r="Y156"/>
          <cell r="Z156" t="str">
            <v>Yes</v>
          </cell>
          <cell r="AA156" t="str">
            <v>Final invoice is under process</v>
          </cell>
          <cell r="AB156" t="str">
            <v>All deliverables met</v>
          </cell>
          <cell r="AC156"/>
          <cell r="AD156" t="str">
            <v>All assessments have been completed along with DA</v>
          </cell>
          <cell r="AE156" t="str">
            <v>Last invoice rasied</v>
          </cell>
          <cell r="AF156"/>
          <cell r="AG156"/>
        </row>
        <row r="157">
          <cell r="E157" t="str">
            <v>PP00282</v>
          </cell>
          <cell r="F157" t="str">
            <v>Income Based</v>
          </cell>
          <cell r="G157" t="str">
            <v>Nomination</v>
          </cell>
          <cell r="H157">
            <v>1108800</v>
          </cell>
          <cell r="I157" t="str">
            <v>Ongoing</v>
          </cell>
          <cell r="J157" t="str">
            <v>NLMC</v>
          </cell>
          <cell r="K157"/>
          <cell r="L157">
            <v>45716</v>
          </cell>
          <cell r="M157">
            <v>45869</v>
          </cell>
          <cell r="N157"/>
          <cell r="O157"/>
          <cell r="P157"/>
          <cell r="Q157"/>
          <cell r="R157"/>
          <cell r="S157"/>
          <cell r="T157"/>
          <cell r="U157"/>
          <cell r="V157" t="str">
            <v>On Schedule</v>
          </cell>
          <cell r="W157"/>
          <cell r="X157" t="str">
            <v>Within Budget</v>
          </cell>
          <cell r="Y157"/>
          <cell r="Z157" t="str">
            <v>Yes</v>
          </cell>
          <cell r="AA157"/>
          <cell r="AB157" t="str">
            <v>All deliverables met</v>
          </cell>
          <cell r="AC157"/>
          <cell r="AD157"/>
          <cell r="AE157"/>
          <cell r="AF157"/>
          <cell r="AG157"/>
        </row>
        <row r="158">
          <cell r="E158" t="str">
            <v>PP00283</v>
          </cell>
          <cell r="F158" t="str">
            <v>Income Based</v>
          </cell>
          <cell r="G158" t="str">
            <v>Nomination</v>
          </cell>
          <cell r="H158">
            <v>23661100</v>
          </cell>
          <cell r="I158" t="str">
            <v>Ongoing</v>
          </cell>
          <cell r="J158" t="str">
            <v>Ministry of Culture</v>
          </cell>
          <cell r="K158" t="str">
            <v>Arts, Culture &amp; Heritage</v>
          </cell>
          <cell r="L158">
            <v>45748</v>
          </cell>
          <cell r="M158">
            <v>46112</v>
          </cell>
          <cell r="N158"/>
          <cell r="O158"/>
          <cell r="P158" t="str">
            <v>The objective of the project is to set up a dedicated Project Management Unit (PMU) within the C&amp;M Division of the Ministry of Culture, led by the Quality Council of India (QCI), to drive systemic transformation, enhance cultural governance, and deliver impactful initiatives aligned with the vision of "Amrit Kaal."</v>
          </cell>
          <cell r="Q158" t="str">
            <v>PMU/PMC</v>
          </cell>
          <cell r="R158" t="str">
            <v>August</v>
          </cell>
          <cell r="S158">
            <v>8</v>
          </cell>
          <cell r="T158">
            <v>10</v>
          </cell>
          <cell r="U158" t="str">
            <v>Client has requested for 2 additional resources as per the work order. These resources have been identified and under process.</v>
          </cell>
          <cell r="V158" t="str">
            <v>On Schedule</v>
          </cell>
          <cell r="W158"/>
          <cell r="X158" t="str">
            <v>Within Budget</v>
          </cell>
          <cell r="Y158"/>
          <cell r="Z158" t="str">
            <v>No</v>
          </cell>
          <cell r="AA158" t="str">
            <v>Delayed in getting the revised work order from the client</v>
          </cell>
          <cell r="AB158" t="str">
            <v>All deliverables met</v>
          </cell>
          <cell r="AC158"/>
          <cell r="AD158" t="str">
            <v xml:space="preserve">
• The PMU team has successfully executed “Har Ghar Tiranga Campaign”
• New heroes to be celebrated have been identified.
• Republic Day Celebration activities were undertaken.
</v>
          </cell>
          <cell r="AE158" t="str">
            <v>Varied according to client priorities</v>
          </cell>
          <cell r="AF158"/>
          <cell r="AG158"/>
        </row>
        <row r="159">
          <cell r="E159" t="str">
            <v>PP00284</v>
          </cell>
          <cell r="F159" t="str">
            <v>Income Based</v>
          </cell>
          <cell r="G159" t="str">
            <v>Tender</v>
          </cell>
          <cell r="H159">
            <v>2150500</v>
          </cell>
          <cell r="I159" t="str">
            <v>Ongoing</v>
          </cell>
          <cell r="J159" t="str">
            <v>NIUA</v>
          </cell>
          <cell r="K159" t="str">
            <v>Water suply</v>
          </cell>
          <cell r="L159">
            <v>45794</v>
          </cell>
          <cell r="M159">
            <v>45917</v>
          </cell>
          <cell r="N159"/>
          <cell r="O159" t="str">
            <v>The on-field assessment was conducted on schedule, and both invoices has been raised.</v>
          </cell>
          <cell r="P159" t="str">
            <v>Verification of Pre-construction, Under-construction and Constructed projects across 402 ULBs (Increased during the project) under AMRUT 2.0</v>
          </cell>
          <cell r="Q159" t="str">
            <v>TPI/TPA/TPE</v>
          </cell>
          <cell r="R159" t="str">
            <v>August</v>
          </cell>
          <cell r="S159"/>
          <cell r="T159">
            <v>1</v>
          </cell>
          <cell r="U159"/>
          <cell r="V159" t="str">
            <v>On Schedule</v>
          </cell>
          <cell r="W159"/>
          <cell r="X159" t="str">
            <v>Within Budget</v>
          </cell>
          <cell r="Y159"/>
          <cell r="Z159" t="str">
            <v>Yes</v>
          </cell>
          <cell r="AA159" t="str">
            <v>First invoice raised</v>
          </cell>
          <cell r="AB159" t="str">
            <v>All deliverables met</v>
          </cell>
          <cell r="AC159"/>
          <cell r="AD159" t="str">
            <v>All assessments have been completed along with DA, final submission from the client side is pending</v>
          </cell>
          <cell r="AE159" t="str">
            <v>The portal fillup for all the 411 Ulbs have been completed</v>
          </cell>
          <cell r="AF159"/>
          <cell r="AG159"/>
        </row>
        <row r="160">
          <cell r="E160" t="str">
            <v>PP00285</v>
          </cell>
          <cell r="F160" t="str">
            <v>Income Based</v>
          </cell>
          <cell r="G160" t="str">
            <v>Nomination</v>
          </cell>
          <cell r="H160">
            <v>278417</v>
          </cell>
          <cell r="I160" t="str">
            <v>Completed</v>
          </cell>
          <cell r="J160" t="str">
            <v>U.P. State Archaeology Department</v>
          </cell>
          <cell r="K160" t="str">
            <v>Infrastructure</v>
          </cell>
          <cell r="L160">
            <v>45813</v>
          </cell>
          <cell r="M160">
            <v>45869</v>
          </cell>
          <cell r="N160"/>
          <cell r="O160"/>
          <cell r="P160" t="str">
            <v>QCI has been entrusted by the Directorate of Archaeology, U.P. State Archaeology Department to perform third-party inspection of the project for examination of three ongoing projects sites in (1. Valmiki Ashram, Bithoor, Kanpur Nagar, 2. Sitaram Mahal, Kotvan, Mathura and 3. Rasik Bihari Temple, Fatehpur) under the budget provision of the financial year 2023-24. The objective is to conduct a special technical investigation which included material testing. </v>
          </cell>
          <cell r="Q160" t="str">
            <v>TPI/TPA/TPE</v>
          </cell>
          <cell r="R160">
            <v>45901</v>
          </cell>
          <cell r="S160">
            <v>0</v>
          </cell>
          <cell r="T160">
            <v>0</v>
          </cell>
          <cell r="U160"/>
          <cell r="V160" t="str">
            <v>On Schedule</v>
          </cell>
          <cell r="W160"/>
          <cell r="X160" t="str">
            <v>Within Budget</v>
          </cell>
          <cell r="Y160"/>
          <cell r="Z160" t="str">
            <v>Yes</v>
          </cell>
          <cell r="AA160"/>
          <cell r="AB160" t="str">
            <v>All deliverables met</v>
          </cell>
          <cell r="AC160"/>
          <cell r="AD160" t="str">
            <v>QCI has completed site inspection to the allotted sites and submitted the final reports to the client.</v>
          </cell>
          <cell r="AE160" t="str">
            <v>Payment received</v>
          </cell>
          <cell r="AF160"/>
          <cell r="AG160"/>
        </row>
        <row r="161">
          <cell r="E161" t="str">
            <v>PP00286</v>
          </cell>
          <cell r="F161" t="str">
            <v>Income Based</v>
          </cell>
          <cell r="G161" t="str">
            <v>Nomination</v>
          </cell>
          <cell r="H161">
            <v>7200236</v>
          </cell>
          <cell r="I161" t="str">
            <v>Ongoing</v>
          </cell>
          <cell r="J161" t="str">
            <v>Department of Animal Husbandry &amp; Dairying (DAHD), Ministry of Fisheries, Animal Husbandry and Dairying, GoI</v>
          </cell>
          <cell r="K161" t="str">
            <v>Dairy Development</v>
          </cell>
          <cell r="L161">
            <v>45827</v>
          </cell>
          <cell r="M161">
            <v>45981</v>
          </cell>
          <cell r="N161" t="str">
            <v>NA</v>
          </cell>
          <cell r="O161" t="str">
            <v>NA</v>
          </cell>
          <cell r="P161" t="str">
            <v>•	To evaluate/ appraise the impact of different components of NPDD Scheme on the targeted beneficiaries/ sectors/ areas in terms of both quantitative and qualitative factors
•	Physical assessment of infrastructure created under the component A and Component B of NPDD on sample basis
•	To undertake an output-outcome analysis of NPDD as per the objectives of the scheme 
•	Assessment of funds released by GoI under NPDD and its utilization as per NPDD scheme/ operational guidelines and Financial management manual and only for the purposes for which the funds were provided, assess diversion or duplication in project implementation (if any)
•	To study the gaps in implementation (if any), qualitative aspects of implementation, and suggest measures for improvement in the future
•	To provide suitable recommendations for the continuation / modification / dis-continuation of components / activities of the scheme</v>
          </cell>
          <cell r="Q161" t="str">
            <v>TPI/TPA/TPE</v>
          </cell>
          <cell r="R161">
            <v>45930</v>
          </cell>
          <cell r="S161">
            <v>4</v>
          </cell>
          <cell r="T161">
            <v>9</v>
          </cell>
          <cell r="U161" t="str">
            <v>All employees are mapped under this project only</v>
          </cell>
          <cell r="V161" t="str">
            <v>On Schedule</v>
          </cell>
          <cell r="W161"/>
          <cell r="X161" t="str">
            <v>Within Budget</v>
          </cell>
          <cell r="Y161"/>
          <cell r="Z161" t="str">
            <v>Yes</v>
          </cell>
          <cell r="AA161"/>
          <cell r="AB161" t="str">
            <v>All deliverables met</v>
          </cell>
          <cell r="AC161"/>
          <cell r="AD161" t="str">
            <v>Inception Report</v>
          </cell>
          <cell r="AE161" t="str">
            <v>Execution of Primary Study</v>
          </cell>
          <cell r="AF161" t="str">
            <v>Draft Report</v>
          </cell>
          <cell r="AG161" t="str">
            <v>Identification &amp; Hiring of relevant Human Resources for the project</v>
          </cell>
        </row>
        <row r="162">
          <cell r="E162" t="str">
            <v>PP00287</v>
          </cell>
          <cell r="F162" t="str">
            <v>Income Based</v>
          </cell>
          <cell r="G162" t="str">
            <v>Tender</v>
          </cell>
          <cell r="H162">
            <v>108160639</v>
          </cell>
          <cell r="I162" t="str">
            <v>Ongoing</v>
          </cell>
          <cell r="J162" t="str">
            <v>SUDA, Chhattisgarh</v>
          </cell>
          <cell r="K162" t="str">
            <v xml:space="preserve">Sanitation </v>
          </cell>
          <cell r="L162">
            <v>45877</v>
          </cell>
          <cell r="M162">
            <v>46607</v>
          </cell>
          <cell r="N162"/>
          <cell r="O162"/>
          <cell r="P162" t="str">
            <v xml:space="preserve">QCI is conducting sanitation assessments of 169 urban local bodies in the state of Chhatisgarh in accordance with the MoHUA-developed Swachh Survekshan toolkit. The evaluation will consist of on-site verification, desktop evaluation, and on-call validation of various sanitation-related aspects. Assessment will be carried out in four phases. </v>
          </cell>
          <cell r="Q162" t="str">
            <v>TPI/TPA/TPE</v>
          </cell>
          <cell r="R162"/>
          <cell r="S162">
            <v>2</v>
          </cell>
          <cell r="T162">
            <v>1</v>
          </cell>
          <cell r="U162" t="str">
            <v>Initiation</v>
          </cell>
          <cell r="V162" t="str">
            <v>On Schedule</v>
          </cell>
          <cell r="W162"/>
          <cell r="X162" t="str">
            <v>Within Budget</v>
          </cell>
          <cell r="Y162"/>
          <cell r="Z162" t="str">
            <v>Yes</v>
          </cell>
          <cell r="AA162"/>
          <cell r="AB162" t="str">
            <v>All deliverables met</v>
          </cell>
          <cell r="AC162"/>
          <cell r="AD162" t="str">
            <v>N/A</v>
          </cell>
          <cell r="AE162" t="str">
            <v>Portal Development, Toolkit Finalisation and Hiring of PMU Member</v>
          </cell>
          <cell r="AF162" t="str">
            <v>Finalisation of Portal and Assessor Training</v>
          </cell>
          <cell r="AG162" t="str">
            <v>N/A</v>
          </cell>
        </row>
        <row r="163">
          <cell r="E163" t="str">
            <v>PP00288</v>
          </cell>
          <cell r="F163" t="str">
            <v>Income Based</v>
          </cell>
          <cell r="G163" t="str">
            <v>Tender</v>
          </cell>
          <cell r="H163">
            <v>1335121.1864406781</v>
          </cell>
          <cell r="I163" t="str">
            <v>Ongoing</v>
          </cell>
          <cell r="J163" t="str">
            <v>National Institute of Public Cooperation and Child Development (NIPCCD)</v>
          </cell>
          <cell r="K163" t="str">
            <v>Infrastructure</v>
          </cell>
          <cell r="L163">
            <v>45817</v>
          </cell>
          <cell r="M163">
            <v>46180</v>
          </cell>
          <cell r="N163"/>
          <cell r="O163"/>
          <cell r="P163" t="str">
            <v>The scope includes inspection, verification, and quality assessment of materials and workmanship at various stages of the project. This includes review of technical specifications, drawings, and test certificates; random material testing; dimensional and visual checks; validation of contractor bills; and compliance with approved standards, safety norms, and regulatory requirements. There will be deployment of qualified engineering staff on-site for continuous monitoring, submission of regular reports, and identification of discrepancies or deficiencies in civil and electrical works.</v>
          </cell>
          <cell r="Q163" t="str">
            <v>TPI/TPA/TPE</v>
          </cell>
          <cell r="R163">
            <v>45809</v>
          </cell>
          <cell r="S163">
            <v>1</v>
          </cell>
          <cell r="T163">
            <v>1</v>
          </cell>
          <cell r="U163"/>
          <cell r="V163" t="str">
            <v>On Schedule</v>
          </cell>
          <cell r="W163"/>
          <cell r="X163" t="str">
            <v>Within Budget</v>
          </cell>
          <cell r="Y163"/>
          <cell r="Z163" t="str">
            <v>Yes</v>
          </cell>
          <cell r="AA163"/>
          <cell r="AB163" t="str">
            <v>All deliverables met</v>
          </cell>
          <cell r="AC163"/>
          <cell r="AD163"/>
          <cell r="AE163" t="str">
            <v>Monthly site inspection as per schedule</v>
          </cell>
          <cell r="AF163"/>
          <cell r="AG163"/>
        </row>
        <row r="164">
          <cell r="E164" t="str">
            <v>PP00289</v>
          </cell>
          <cell r="F164" t="str">
            <v>Income Based</v>
          </cell>
          <cell r="G164" t="str">
            <v>Tender</v>
          </cell>
          <cell r="H164">
            <v>1279041.3559322036</v>
          </cell>
          <cell r="I164" t="str">
            <v>Ongoing</v>
          </cell>
          <cell r="J164" t="str">
            <v>NBCC</v>
          </cell>
          <cell r="K164" t="str">
            <v>Infrastructure</v>
          </cell>
          <cell r="L164">
            <v>45814</v>
          </cell>
          <cell r="M164">
            <v>46477</v>
          </cell>
          <cell r="N164"/>
          <cell r="O164"/>
          <cell r="P164" t="str">
            <v>The objective of the assignment is to provide an independent and reliable Third-Party Quality Monitoring for the construction of the Judicial Officers Residential Colony (Type V), Multipurpose Hall, and Judicial Staff Quarters (Type II) at Mohkampur, Dehradun, Uttarakhand. The scope includes comprehensive Quality Control and Quality Assurance services for all civil, electrical, mechanical, and allied MEP works. QCI have carry inspection and verification of construction quality, adherence to approved specifications and standards, identification of deviations, and recommendation of corrective actions. QCI will be responsible for technical documentation, monitoring of construction practices, and submission of periodic reports to NBCC to uphold standards of quality and compliance across the project. Subsequently, the inspection report to be submitted to the department. Report will consist of defects and deficiencies in the works and recommendations, if any.</v>
          </cell>
          <cell r="Q164" t="str">
            <v>TPI/TPA/TPE</v>
          </cell>
          <cell r="R164">
            <v>45809</v>
          </cell>
          <cell r="S164">
            <v>0</v>
          </cell>
          <cell r="T164">
            <v>1</v>
          </cell>
          <cell r="U164" t="str">
            <v>As per Project Requirement</v>
          </cell>
          <cell r="V164" t="str">
            <v>On Schedule</v>
          </cell>
          <cell r="W164"/>
          <cell r="X164" t="str">
            <v>Within Budget</v>
          </cell>
          <cell r="Y164"/>
          <cell r="Z164" t="str">
            <v>Yes</v>
          </cell>
          <cell r="AA164"/>
          <cell r="AB164" t="str">
            <v>All deliverables met</v>
          </cell>
          <cell r="AC164"/>
          <cell r="AD164"/>
          <cell r="AE164" t="str">
            <v>Monthly site inspection as per schedule</v>
          </cell>
          <cell r="AF164"/>
          <cell r="AG164"/>
        </row>
        <row r="165">
          <cell r="E165" t="str">
            <v>PP00290</v>
          </cell>
          <cell r="F165" t="str">
            <v>Income Based</v>
          </cell>
          <cell r="G165" t="str">
            <v>Tender</v>
          </cell>
          <cell r="H165">
            <v>3822925.42</v>
          </cell>
          <cell r="I165" t="str">
            <v>Ongoing</v>
          </cell>
          <cell r="J165" t="str">
            <v>NBCC</v>
          </cell>
          <cell r="K165" t="str">
            <v>Infrastructure</v>
          </cell>
          <cell r="L165">
            <v>45832</v>
          </cell>
          <cell r="M165">
            <v>46295</v>
          </cell>
          <cell r="N165"/>
          <cell r="O165"/>
          <cell r="P165" t="str">
            <v>The objective of this engagement is to appoint a Third Party Quality Monitoring Agency (TPQMA) to provide independent quality control, supervision, and structural assurance for the construction of the Boy’s Hostel at Hindu College, University of Delhi. The scope includes comprehensive quality monitoring of all civil, electrical, mechanical, MEP, and allied works to ensure adherence to approved specifications and construction standards throughout the project duration.</v>
          </cell>
          <cell r="Q165" t="str">
            <v>TPI/TPA/TPE</v>
          </cell>
          <cell r="R165">
            <v>45809</v>
          </cell>
          <cell r="S165">
            <v>2</v>
          </cell>
          <cell r="T165">
            <v>2</v>
          </cell>
          <cell r="U165"/>
          <cell r="V165" t="str">
            <v>On Schedule</v>
          </cell>
          <cell r="W165"/>
          <cell r="X165" t="str">
            <v>Within Budget</v>
          </cell>
          <cell r="Y165"/>
          <cell r="Z165" t="str">
            <v>Yes</v>
          </cell>
          <cell r="AA165"/>
          <cell r="AB165" t="str">
            <v>All deliverables met</v>
          </cell>
          <cell r="AC165"/>
          <cell r="AD165"/>
          <cell r="AE165" t="str">
            <v>Monthly site inspection as per schedule</v>
          </cell>
          <cell r="AF165"/>
          <cell r="AG165"/>
        </row>
        <row r="166">
          <cell r="E166" t="str">
            <v>PP00291</v>
          </cell>
          <cell r="F166" t="str">
            <v>Income Based</v>
          </cell>
          <cell r="G166" t="str">
            <v>Nomination</v>
          </cell>
          <cell r="H166">
            <v>680624</v>
          </cell>
          <cell r="I166" t="str">
            <v>Ongoing</v>
          </cell>
          <cell r="J166" t="str">
            <v>Ministry of Labour &amp; Employment</v>
          </cell>
          <cell r="K166" t="str">
            <v>Social Impact</v>
          </cell>
          <cell r="L166">
            <v>45833</v>
          </cell>
          <cell r="M166">
            <v>45900</v>
          </cell>
          <cell r="N166" t="str">
            <v>NA</v>
          </cell>
          <cell r="O166" t="str">
            <v>NA</v>
          </cell>
          <cell r="P166" t="str">
            <v>To evaluate the impact of these schemes on targeted beneficiaries, sectors, and areas, conduct an output-outcome analysis, and assess implementation gaps by examining alignment with scheme design. Additionally, provide recommendations for improving implementation, continuing the schemes, and expanding their scope to cover additional sectors effectively.</v>
          </cell>
          <cell r="Q166" t="str">
            <v>TPI/TPA/TPE</v>
          </cell>
          <cell r="R166" t="str">
            <v>October 3, 2025</v>
          </cell>
          <cell r="S166">
            <v>1</v>
          </cell>
          <cell r="T166">
            <v>0</v>
          </cell>
          <cell r="U166" t="str">
            <v>The project will be closed in August and the employees will be mapped to different code</v>
          </cell>
          <cell r="V166" t="str">
            <v>On Schedule</v>
          </cell>
          <cell r="W166" t="str">
            <v>NA</v>
          </cell>
          <cell r="X166" t="str">
            <v>Within Budget</v>
          </cell>
          <cell r="Y166" t="str">
            <v>NA</v>
          </cell>
          <cell r="Z166" t="str">
            <v>Yes</v>
          </cell>
          <cell r="AA166" t="str">
            <v>NA</v>
          </cell>
          <cell r="AB166" t="str">
            <v>All deliverables met</v>
          </cell>
          <cell r="AC166" t="str">
            <v>NA</v>
          </cell>
          <cell r="AD166" t="str">
            <v>Impact assessment of NPS scheme, to understand the benefits of scheme, gaps, provide recommendations</v>
          </cell>
          <cell r="AE166" t="str">
            <v>Final Report submitted to client</v>
          </cell>
          <cell r="AF166" t="str">
            <v>No deliverable</v>
          </cell>
          <cell r="AG166" t="str">
            <v>NA</v>
          </cell>
        </row>
        <row r="167">
          <cell r="E167" t="str">
            <v>PP00292</v>
          </cell>
          <cell r="F167" t="str">
            <v>Income Based</v>
          </cell>
          <cell r="G167" t="str">
            <v>Tender</v>
          </cell>
          <cell r="H167">
            <v>2918720.338983051</v>
          </cell>
          <cell r="I167" t="str">
            <v>Ongoing</v>
          </cell>
          <cell r="J167" t="str">
            <v>Ministry of Tribal Affairs</v>
          </cell>
          <cell r="K167" t="str">
            <v>Tribal Affairs</v>
          </cell>
          <cell r="L167">
            <v>45845</v>
          </cell>
          <cell r="M167">
            <v>45907</v>
          </cell>
          <cell r="N167"/>
          <cell r="O167" t="str">
            <v>Draft report submitted on 01-09-2025. Delay in receiving client's comments on the draft report</v>
          </cell>
          <cell r="P167" t="str">
            <v>Evaluate TRI-ECE - a central sector scheme under MoTA and develop recommendations to stregthen the scheme's execution and financial planning</v>
          </cell>
          <cell r="Q167" t="str">
            <v>PMU/PMC</v>
          </cell>
          <cell r="R167" t="str">
            <v>August</v>
          </cell>
          <cell r="S167">
            <v>3</v>
          </cell>
          <cell r="T167">
            <v>3</v>
          </cell>
          <cell r="U167"/>
          <cell r="V167" t="str">
            <v>On Schedule</v>
          </cell>
          <cell r="W167" t="str">
            <v>Delay in receiving client's comments on the draft report</v>
          </cell>
          <cell r="X167" t="str">
            <v>Within Budget</v>
          </cell>
          <cell r="Y167"/>
          <cell r="Z167" t="str">
            <v>Yes</v>
          </cell>
          <cell r="AA167"/>
          <cell r="AB167" t="str">
            <v>All deliverables met</v>
          </cell>
          <cell r="AC167"/>
          <cell r="AD167" t="str">
            <v>The draft report has been submitted to the client</v>
          </cell>
          <cell r="AE167" t="str">
            <v>Draft report of the evaluation</v>
          </cell>
          <cell r="AF167" t="str">
            <v>Final report of the evaluation</v>
          </cell>
          <cell r="AG167"/>
        </row>
        <row r="168">
          <cell r="E168" t="str">
            <v>PP00293</v>
          </cell>
          <cell r="F168" t="str">
            <v>Income Based</v>
          </cell>
          <cell r="G168" t="str">
            <v>Nomination</v>
          </cell>
          <cell r="H168">
            <v>14533635</v>
          </cell>
          <cell r="I168" t="str">
            <v>Ongoing</v>
          </cell>
          <cell r="J168" t="str">
            <v>Ministry of Culture</v>
          </cell>
          <cell r="K168" t="str">
            <v>Arts, Culture &amp; Heritage</v>
          </cell>
          <cell r="L168">
            <v>45862</v>
          </cell>
          <cell r="M168">
            <v>45953</v>
          </cell>
          <cell r="N168"/>
          <cell r="O168"/>
          <cell r="P168" t="str">
            <v>To evaluate 4 central sector schemes and 2 missions under the Ministry of Culture, and support the ministry in development of 2 new schemes for the upcoming 16th financial commission</v>
          </cell>
          <cell r="Q168" t="str">
            <v>PMU/PMC</v>
          </cell>
          <cell r="R168" t="str">
            <v>August</v>
          </cell>
          <cell r="S168">
            <v>4</v>
          </cell>
          <cell r="T168">
            <v>13</v>
          </cell>
          <cell r="U168" t="str">
            <v>New joinees</v>
          </cell>
          <cell r="V168" t="str">
            <v>On Schedule</v>
          </cell>
          <cell r="W168"/>
          <cell r="X168" t="str">
            <v>Within Budget</v>
          </cell>
          <cell r="Y168"/>
          <cell r="Z168" t="str">
            <v>Yes</v>
          </cell>
          <cell r="AA168"/>
          <cell r="AB168" t="str">
            <v>All deliverables met</v>
          </cell>
          <cell r="AC168"/>
          <cell r="AD168"/>
          <cell r="AE168" t="str">
            <v>complete desktop &amp; field assessment rounds, and finalised intial hypothesis of recommendations</v>
          </cell>
          <cell r="AF168" t="str">
            <v>Submission of draft report and final report</v>
          </cell>
          <cell r="AG168"/>
        </row>
        <row r="169">
          <cell r="E169" t="str">
            <v>PP00294</v>
          </cell>
          <cell r="F169" t="str">
            <v>Income Based</v>
          </cell>
          <cell r="G169" t="str">
            <v>Tender</v>
          </cell>
          <cell r="H169">
            <v>2105490.677966102</v>
          </cell>
          <cell r="I169" t="str">
            <v>Ongoing</v>
          </cell>
          <cell r="J169" t="str">
            <v>Ministry of Women and Child Development</v>
          </cell>
          <cell r="K169" t="str">
            <v>Infrastructure</v>
          </cell>
          <cell r="L169">
            <v>45866</v>
          </cell>
          <cell r="M169">
            <v>46230</v>
          </cell>
          <cell r="N169"/>
          <cell r="O169"/>
          <cell r="P169" t="str">
            <v>The objective of this engagement is to appoint a Third Party Quality Monitoring Agency (TPQMA) to provide independent quality control, supervision, and structural assurance for the Civil, Electrical and mechanical works. The scope includes comprehensive quality monitoring of all civil, electrical, mechanical, MEP, and allied works to ensure adherence to approved specifications and construction standards throughout the project duration.</v>
          </cell>
          <cell r="Q169" t="str">
            <v>TPI/TPA/TPE</v>
          </cell>
          <cell r="R169">
            <v>45870</v>
          </cell>
          <cell r="S169">
            <v>0</v>
          </cell>
          <cell r="T169">
            <v>1</v>
          </cell>
          <cell r="U169" t="str">
            <v>As per Project Requirement</v>
          </cell>
          <cell r="V169" t="str">
            <v>On Schedule</v>
          </cell>
          <cell r="W169"/>
          <cell r="X169" t="str">
            <v>Within Budget</v>
          </cell>
          <cell r="Y169"/>
          <cell r="Z169" t="str">
            <v>Yes</v>
          </cell>
          <cell r="AA169"/>
          <cell r="AB169" t="str">
            <v>All deliverables met</v>
          </cell>
          <cell r="AC169"/>
          <cell r="AD169"/>
          <cell r="AE169" t="str">
            <v>Monthly site inspection as per schedule</v>
          </cell>
          <cell r="AF169"/>
          <cell r="AG169"/>
        </row>
        <row r="170">
          <cell r="E170" t="str">
            <v>PP00295</v>
          </cell>
          <cell r="F170" t="str">
            <v>Income Based</v>
          </cell>
          <cell r="G170" t="str">
            <v>Nomination</v>
          </cell>
          <cell r="H170">
            <v>4414880</v>
          </cell>
          <cell r="I170" t="str">
            <v>Ongoing</v>
          </cell>
          <cell r="J170" t="str">
            <v>Ministry of Tourism</v>
          </cell>
          <cell r="K170" t="str">
            <v>Tourism</v>
          </cell>
          <cell r="L170">
            <v>45665</v>
          </cell>
          <cell r="M170">
            <v>45961</v>
          </cell>
          <cell r="N170"/>
          <cell r="O170"/>
          <cell r="P170" t="str">
            <v xml:space="preserve">QCI has been engaged to evaluate the effectiveness, impact, and efficiency of the CBSP training programs under the Ministry of Tourism. This evaluation will measure the extent to which programs have enhanced the skills, service quality, and professionalism of tourism and hospitality stakeholders. </v>
          </cell>
          <cell r="Q170" t="str">
            <v>TPI/TPA/TPE</v>
          </cell>
          <cell r="R170" t="str">
            <v>August</v>
          </cell>
          <cell r="S170">
            <v>6</v>
          </cell>
          <cell r="T170">
            <v>6</v>
          </cell>
          <cell r="U170"/>
          <cell r="V170" t="str">
            <v>On Schedule</v>
          </cell>
          <cell r="W170"/>
          <cell r="X170" t="str">
            <v>Within Budget</v>
          </cell>
          <cell r="Y170"/>
          <cell r="Z170" t="str">
            <v>Yes</v>
          </cell>
          <cell r="AA170"/>
          <cell r="AB170" t="str">
            <v>All deliverables met</v>
          </cell>
          <cell r="AC170"/>
          <cell r="AD170" t="str">
            <v>Field Assessment has been carried out, data analysis has been done . The report for the project is being prepared</v>
          </cell>
          <cell r="AE170" t="str">
            <v>Completion of field visits and data analysis</v>
          </cell>
          <cell r="AF170" t="str">
            <v>Final report Submission</v>
          </cell>
          <cell r="AG170"/>
        </row>
        <row r="171">
          <cell r="E171" t="str">
            <v>PP00296</v>
          </cell>
          <cell r="F171" t="str">
            <v>Income Based</v>
          </cell>
          <cell r="G171" t="str">
            <v>Nomination</v>
          </cell>
          <cell r="H171">
            <v>48662512</v>
          </cell>
          <cell r="I171" t="str">
            <v>Ongoing</v>
          </cell>
          <cell r="J171" t="str">
            <v>Bureau of Police Research and Development, MHA</v>
          </cell>
          <cell r="K171" t="str">
            <v>Police Reforms &amp; Public Perception</v>
          </cell>
          <cell r="L171">
            <v>45833</v>
          </cell>
          <cell r="M171"/>
          <cell r="N171" t="str">
            <v>NA</v>
          </cell>
          <cell r="O171" t="str">
            <v>NA</v>
          </cell>
          <cell r="P171" t="str">
            <v xml:space="preserve"> - Assess the current status of implementation of the Hon’ble PM’s recommendations for the last three (03) years DGsP/IGsP Conferences (2022-24).
 - Evaluate the effectiveness and impact of implemented recommendations in enhancing policing outcomes, and service delivery mechanism for citizens.
 - Conduct an in-depth review of the recommendations from the past study to examine the progress of course correction suggested through previous study.
 - Examine the key challenges, and capacity-related constraints influencing the implementation process.</v>
          </cell>
          <cell r="Q171" t="str">
            <v>NA</v>
          </cell>
          <cell r="R171" t="str">
            <v>September 2, 2025</v>
          </cell>
          <cell r="S171">
            <v>26</v>
          </cell>
          <cell r="T171">
            <v>26</v>
          </cell>
          <cell r="U171" t="str">
            <v>NA</v>
          </cell>
          <cell r="V171" t="str">
            <v>On Schedule</v>
          </cell>
          <cell r="W171" t="str">
            <v>NA</v>
          </cell>
          <cell r="X171" t="str">
            <v>Within Budget</v>
          </cell>
          <cell r="Y171" t="str">
            <v>NA</v>
          </cell>
          <cell r="Z171" t="str">
            <v>Yes</v>
          </cell>
          <cell r="AA171" t="str">
            <v>NA</v>
          </cell>
          <cell r="AB171" t="str">
            <v>All deliverables met</v>
          </cell>
          <cell r="AC171" t="str">
            <v>NA</v>
          </cell>
          <cell r="AD171"/>
          <cell r="AE171" t="str">
            <v>Major part of on the field assessment completed. Also 1st milestone achieved and invoice raised. 1st payment also received.</v>
          </cell>
          <cell r="AF171" t="str">
            <v>Draft submission and review of State and National Reports.</v>
          </cell>
          <cell r="AG171" t="str">
            <v>NA</v>
          </cell>
        </row>
        <row r="172">
          <cell r="E172" t="str">
            <v>PP00297</v>
          </cell>
          <cell r="F172" t="str">
            <v>Income Based</v>
          </cell>
          <cell r="G172" t="str">
            <v>Tender</v>
          </cell>
          <cell r="H172">
            <v>4182864</v>
          </cell>
          <cell r="I172" t="str">
            <v>Ongoing</v>
          </cell>
          <cell r="J172" t="str">
            <v>Department of Justice</v>
          </cell>
          <cell r="K172" t="str">
            <v>Social Impact</v>
          </cell>
          <cell r="L172">
            <v>45880</v>
          </cell>
          <cell r="M172" t="str">
            <v>13/02/2026</v>
          </cell>
          <cell r="N172" t="str">
            <v>NA</v>
          </cell>
          <cell r="O172" t="str">
            <v>NA</v>
          </cell>
          <cell r="P172" t="str">
            <v>The scope of work involves conducting a comprehensive evaluation of the DISHA Scheme to assess its effectiveness in promoting legal awareness, accessibility, and empowerment among marginalized communities. It includes analyzing the outreach, implementation mechanisms, and stakeholder engagement across different regions. Additionally, the study will identify challenges, best practices, and provide actionable recommendations for scaling and strengthening the scheme's delivery framework.</v>
          </cell>
          <cell r="Q172" t="str">
            <v>TPI/TPA/TPE</v>
          </cell>
          <cell r="R172" t="str">
            <v>October 3, 2025</v>
          </cell>
          <cell r="S172">
            <v>5</v>
          </cell>
          <cell r="T172">
            <v>4</v>
          </cell>
          <cell r="U172" t="str">
            <v>1 person mapped to different codes</v>
          </cell>
          <cell r="V172" t="str">
            <v>On Schedule</v>
          </cell>
          <cell r="W172" t="str">
            <v>NA</v>
          </cell>
          <cell r="X172" t="str">
            <v>Within Budget</v>
          </cell>
          <cell r="Y172" t="str">
            <v>NA</v>
          </cell>
          <cell r="Z172" t="str">
            <v>Yes</v>
          </cell>
          <cell r="AA172" t="str">
            <v>NA</v>
          </cell>
          <cell r="AB172" t="str">
            <v>All deliverables met</v>
          </cell>
          <cell r="AC172" t="str">
            <v>NA</v>
          </cell>
          <cell r="AD172" t="str">
            <v>Questionnaire and sampling methodology was developed for the impact assessment of the three schmes and the field assessment for all three schemes has been started.</v>
          </cell>
          <cell r="AE172" t="str">
            <v>Inception Repprt has been submitted. Field assessment is started</v>
          </cell>
          <cell r="AF172" t="str">
            <v>Mid Term report to be submitted, field assessment to be conducted PAN India</v>
          </cell>
          <cell r="AG172" t="str">
            <v>NA</v>
          </cell>
        </row>
        <row r="173">
          <cell r="E173" t="str">
            <v>PP00298</v>
          </cell>
          <cell r="F173" t="str">
            <v>Income Based</v>
          </cell>
          <cell r="G173" t="str">
            <v>Tender</v>
          </cell>
          <cell r="H173">
            <v>12938464</v>
          </cell>
          <cell r="I173" t="str">
            <v>Ongoing</v>
          </cell>
          <cell r="J173" t="str">
            <v>Ministry of Ayush</v>
          </cell>
          <cell r="K173" t="str">
            <v>Social Impact</v>
          </cell>
          <cell r="L173">
            <v>45887</v>
          </cell>
          <cell r="M173">
            <v>46145</v>
          </cell>
          <cell r="N173" t="str">
            <v>NA</v>
          </cell>
          <cell r="O173" t="str">
            <v>NA</v>
          </cell>
          <cell r="P173" t="str">
            <v>The scope of the project is to conduct a comprehensive impact and performance evaluation of six Central Sector Schemes implemented by the Ministry of AYUSH. The study aims to assess the effectiveness, relevance, coverage, fund utilization, and outcomes of each scheme, both quantitatively and qualitatively. It involves field surveys, stakeholder consultations, and meta-analysis of official documents, with a focus on identifying implementation challenges, and providing actionable recommendations for continuation, modification, or scaling of the schemes. The evaluation will cover projects across all six geographical zones of India to ensure national representation.</v>
          </cell>
          <cell r="Q173" t="str">
            <v>TPI/TPA/TPE</v>
          </cell>
          <cell r="R173" t="str">
            <v>October 3, 2025</v>
          </cell>
          <cell r="S173">
            <v>19</v>
          </cell>
          <cell r="T173">
            <v>19</v>
          </cell>
          <cell r="U173"/>
          <cell r="V173" t="str">
            <v>On Schedule</v>
          </cell>
          <cell r="W173" t="str">
            <v>NA</v>
          </cell>
          <cell r="X173" t="str">
            <v>Within Budget</v>
          </cell>
          <cell r="Y173" t="str">
            <v>NA</v>
          </cell>
          <cell r="Z173" t="str">
            <v>Yes</v>
          </cell>
          <cell r="AA173" t="str">
            <v>NA</v>
          </cell>
          <cell r="AB173" t="str">
            <v>All deliverables met</v>
          </cell>
          <cell r="AC173" t="str">
            <v>NA</v>
          </cell>
          <cell r="AD173" t="str">
            <v>Questionnaire and sampling methodology was developed for the impact assessment of the three schmes and the field assessment for all six schemes has been started.</v>
          </cell>
          <cell r="AE173" t="str">
            <v>Inception Repprt has been submitted. Field assessment is started</v>
          </cell>
          <cell r="AF173" t="str">
            <v>Field assessment and analysis will be completed</v>
          </cell>
          <cell r="AG173" t="str">
            <v>NA</v>
          </cell>
        </row>
        <row r="174">
          <cell r="E174" t="str">
            <v>PP00299</v>
          </cell>
          <cell r="F174" t="str">
            <v>Income Based</v>
          </cell>
          <cell r="G174" t="str">
            <v>Nomination</v>
          </cell>
          <cell r="H174">
            <v>12348060</v>
          </cell>
          <cell r="I174" t="str">
            <v>Ongoing</v>
          </cell>
          <cell r="J174" t="str">
            <v>Department of Animal Husbandry &amp; Dairying (DAHD), Ministry of Fisheries, Animal Husbandry and Dairying, GoI</v>
          </cell>
          <cell r="K174" t="str">
            <v>Livestock Disease Control</v>
          </cell>
          <cell r="L174">
            <v>45888</v>
          </cell>
          <cell r="M174" t="str">
            <v>19/12/2024</v>
          </cell>
          <cell r="N174" t="str">
            <v>NA</v>
          </cell>
          <cell r="O174"/>
          <cell r="P174" t="str">
            <v>The LHDCP, a Centrally Sponsored Scheme (CSS) aims to mitigate risks to animal health through vaccination, enhanced veterinary services, improved disease surveillance, and better veterinary infrastructure.</v>
          </cell>
          <cell r="Q174" t="str">
            <v>TPI/TPA/TPE</v>
          </cell>
          <cell r="R174">
            <v>45930</v>
          </cell>
          <cell r="S174">
            <v>0</v>
          </cell>
          <cell r="T174">
            <v>0</v>
          </cell>
          <cell r="U174"/>
          <cell r="V174" t="str">
            <v>On Schedule</v>
          </cell>
          <cell r="W174"/>
          <cell r="X174" t="str">
            <v>Within Budget</v>
          </cell>
          <cell r="Y174"/>
          <cell r="Z174" t="str">
            <v>Yes</v>
          </cell>
          <cell r="AA174"/>
          <cell r="AB174" t="str">
            <v>All deliverables met</v>
          </cell>
          <cell r="AC174"/>
          <cell r="AD174" t="str">
            <v>Inception Report</v>
          </cell>
          <cell r="AE174" t="str">
            <v>Primary Assessment</v>
          </cell>
          <cell r="AF174" t="str">
            <v>Primary Survey</v>
          </cell>
          <cell r="AG174" t="str">
            <v>Human Resources</v>
          </cell>
        </row>
        <row r="175">
          <cell r="E175" t="str">
            <v>PP00300</v>
          </cell>
          <cell r="F175" t="str">
            <v>Income Based</v>
          </cell>
          <cell r="G175" t="str">
            <v>Tender</v>
          </cell>
          <cell r="H175">
            <v>6912480.9576271195</v>
          </cell>
          <cell r="I175" t="str">
            <v>Ongoing</v>
          </cell>
          <cell r="J175" t="str">
            <v>NBCC</v>
          </cell>
          <cell r="K175" t="str">
            <v>Infrastructure</v>
          </cell>
          <cell r="L175">
            <v>45875</v>
          </cell>
          <cell r="M175">
            <v>46605</v>
          </cell>
          <cell r="N175"/>
          <cell r="O175"/>
          <cell r="P175" t="str">
            <v>The objective of this engagement is to appoint a Third Party Quality Monitoring Agency (TPQMA) to provide independent quality control, supervision, and structural assurance for the Civil, Electrical and mechanical works. The scope includes comprehensive quality monitoring of all civil, electrical, mechanical, MEP, and allied works to ensure adherence to approved specifications and construction standards throughout the project duration.</v>
          </cell>
          <cell r="Q175" t="str">
            <v>TPI/TPA/TPE</v>
          </cell>
          <cell r="R175">
            <v>45870</v>
          </cell>
          <cell r="S175">
            <v>1</v>
          </cell>
          <cell r="T175">
            <v>1</v>
          </cell>
          <cell r="U175"/>
          <cell r="V175" t="str">
            <v>On Schedule</v>
          </cell>
          <cell r="W175"/>
          <cell r="X175" t="str">
            <v>Within Budget</v>
          </cell>
          <cell r="Y175"/>
          <cell r="Z175" t="str">
            <v>Yes</v>
          </cell>
          <cell r="AA175"/>
          <cell r="AB175" t="str">
            <v>All deliverables met</v>
          </cell>
          <cell r="AC175"/>
          <cell r="AD175"/>
          <cell r="AE175" t="str">
            <v>Monthly site inspection as per schedule</v>
          </cell>
          <cell r="AF175"/>
          <cell r="AG175"/>
        </row>
        <row r="176">
          <cell r="E176" t="str">
            <v>PP00301</v>
          </cell>
          <cell r="F176" t="str">
            <v>Income Based</v>
          </cell>
          <cell r="G176" t="str">
            <v>Tender</v>
          </cell>
          <cell r="H176">
            <v>6912480.9576271195</v>
          </cell>
          <cell r="I176" t="str">
            <v>Ongoing</v>
          </cell>
          <cell r="J176" t="str">
            <v>NBCC</v>
          </cell>
          <cell r="K176" t="str">
            <v>Infrastructure</v>
          </cell>
          <cell r="L176">
            <v>45875</v>
          </cell>
          <cell r="M176">
            <v>46605</v>
          </cell>
          <cell r="N176"/>
          <cell r="O176"/>
          <cell r="P176" t="str">
            <v>The objective of this engagement is to appoint a Third Party Quality Monitoring Agency (TPQMA) to provide independent quality control, supervision, and structural assurance for the Civil, Electrical and mechanical works. The scope includes comprehensive quality monitoring of all civil, electrical, mechanical, MEP, and allied works to ensure adherence to approved specifications and construction standards throughout the project duration.</v>
          </cell>
          <cell r="Q176" t="str">
            <v>TPI/TPA/TPE</v>
          </cell>
          <cell r="R176">
            <v>45870</v>
          </cell>
          <cell r="S176">
            <v>1</v>
          </cell>
          <cell r="T176">
            <v>1</v>
          </cell>
          <cell r="U176"/>
          <cell r="V176" t="str">
            <v>On Schedule</v>
          </cell>
          <cell r="W176"/>
          <cell r="X176" t="str">
            <v>Within Budget</v>
          </cell>
          <cell r="Y176"/>
          <cell r="Z176" t="str">
            <v>Yes</v>
          </cell>
          <cell r="AA176"/>
          <cell r="AB176" t="str">
            <v>All deliverables met</v>
          </cell>
          <cell r="AC176"/>
          <cell r="AD176"/>
          <cell r="AE176" t="str">
            <v>Monthly site inspection as per schedule</v>
          </cell>
          <cell r="AF176"/>
          <cell r="AG176"/>
        </row>
        <row r="177">
          <cell r="E177" t="str">
            <v>PP00302</v>
          </cell>
          <cell r="F177" t="str">
            <v>Income Based</v>
          </cell>
          <cell r="G177" t="str">
            <v>Tender</v>
          </cell>
          <cell r="H177">
            <v>5927154</v>
          </cell>
          <cell r="I177" t="str">
            <v>Ongoing</v>
          </cell>
          <cell r="J177" t="str">
            <v>DPIIT</v>
          </cell>
          <cell r="K177" t="str">
            <v>Leather &amp; Footwear</v>
          </cell>
          <cell r="L177">
            <v>45890</v>
          </cell>
          <cell r="M177" t="str">
            <v>22/12/2025</v>
          </cell>
          <cell r="N177" t="str">
            <v>NA</v>
          </cell>
          <cell r="O177"/>
          <cell r="P177" t="str">
            <v>This scheme aims to develop infrastructure, address environmental concerns, facilitate investments, generate employment, and increase production in Leather, Leather Apparel &amp; Goods, Leather Footwear, Saddlery &amp; Harness, Non-Leather Footwear &amp; Footwear Components.
The IFLADP scheme comprises six sub-schemes:
1.	Integrated Development of Leather Sector (IDLS), 
2.	Sustainable Technology &amp; Environmental Promotion (STEP), 
3.	Mega Leather and Footwear Accessories Cluster Development Programme (MLFACD),
4.	Development of Design Studios, 
5.	Establishment of Institutional Facilities (EIF), and 
6.	Brand Promotion of Indian Brands.</v>
          </cell>
          <cell r="Q177" t="str">
            <v>TPI/TPA/TPE</v>
          </cell>
          <cell r="R177">
            <v>45930</v>
          </cell>
          <cell r="S177">
            <v>0</v>
          </cell>
          <cell r="T177">
            <v>0</v>
          </cell>
          <cell r="U177"/>
          <cell r="V177" t="str">
            <v>On Schedule</v>
          </cell>
          <cell r="W177"/>
          <cell r="X177" t="str">
            <v>Within Budget</v>
          </cell>
          <cell r="Y177"/>
          <cell r="Z177" t="str">
            <v>Yes</v>
          </cell>
          <cell r="AA177"/>
          <cell r="AB177" t="str">
            <v>All deliverables met</v>
          </cell>
          <cell r="AC177"/>
          <cell r="AD177" t="str">
            <v>Mid-Term Report</v>
          </cell>
          <cell r="AE177" t="str">
            <v>Pilot &amp; Primary Survey</v>
          </cell>
          <cell r="AF177" t="str">
            <v>Primary Survey</v>
          </cell>
          <cell r="AG177" t="str">
            <v>Human Resources</v>
          </cell>
        </row>
        <row r="178">
          <cell r="E178" t="str">
            <v>PP00303</v>
          </cell>
          <cell r="F178" t="str">
            <v>Income Based</v>
          </cell>
          <cell r="G178" t="str">
            <v>Tender</v>
          </cell>
          <cell r="H178">
            <v>43575000</v>
          </cell>
          <cell r="I178" t="str">
            <v>Ongoing</v>
          </cell>
          <cell r="J178" t="str">
            <v>Government of Gujarat</v>
          </cell>
          <cell r="K178" t="str">
            <v xml:space="preserve">Sanitation </v>
          </cell>
          <cell r="L178">
            <v>45894</v>
          </cell>
          <cell r="M178">
            <v>45893</v>
          </cell>
          <cell r="N178"/>
          <cell r="O178"/>
          <cell r="P178" t="str">
            <v xml:space="preserve">QCI is conducting sanitation assessments of 166 urban local bodies in the state of Gujarat in accordance with the MoHUA-developed Swachh Survekshan toolkit. The evaluation will consist of on-site verification, desktop evaluation, and on-call validation of various sanitation-related aspects. Assessment will be carried out in four phases. </v>
          </cell>
          <cell r="Q178" t="str">
            <v>TPI/TPA/TPE</v>
          </cell>
          <cell r="R178"/>
          <cell r="S178">
            <v>27</v>
          </cell>
          <cell r="T178">
            <v>27</v>
          </cell>
          <cell r="U178" t="str">
            <v>Commencement</v>
          </cell>
          <cell r="V178" t="str">
            <v>On Schedule</v>
          </cell>
          <cell r="W178"/>
          <cell r="X178" t="str">
            <v>Within Budget</v>
          </cell>
          <cell r="Y178"/>
          <cell r="Z178" t="str">
            <v>Yes</v>
          </cell>
          <cell r="AA178"/>
          <cell r="AB178" t="str">
            <v>All deliverables met</v>
          </cell>
          <cell r="AC178"/>
          <cell r="AD178" t="str">
            <v>N/A</v>
          </cell>
          <cell r="AE178" t="str">
            <v>Assessment to commence for Quarter 1 along with enhancement of the portal\</v>
          </cell>
          <cell r="AF178" t="str">
            <v>Commencement of Q1 Field Assessment</v>
          </cell>
          <cell r="AG178" t="str">
            <v>N/A</v>
          </cell>
        </row>
        <row r="179">
          <cell r="E179" t="str">
            <v>PP00304</v>
          </cell>
          <cell r="F179" t="str">
            <v>Income Based</v>
          </cell>
          <cell r="G179" t="str">
            <v>RFP</v>
          </cell>
          <cell r="H179">
            <v>4212203.5199999996</v>
          </cell>
          <cell r="I179" t="str">
            <v>Ongoing</v>
          </cell>
          <cell r="J179" t="str">
            <v>Department for Promotion of Industry and Internal Trade</v>
          </cell>
          <cell r="K179" t="str">
            <v>Governance</v>
          </cell>
          <cell r="L179" t="str">
            <v>26/08/2025</v>
          </cell>
          <cell r="M179">
            <v>45940</v>
          </cell>
          <cell r="N179"/>
          <cell r="O179"/>
          <cell r="P179" t="str">
            <v>The Scheme for Investment Promotion (SIP) is a Central Sector scheme launched in November 2008 and currently approved for continuation from FY 2021-22 to 2025-26 with a financial outlay of ₹970 crore. It aims to create an enabling environment for attracting domestic and foreign investments to drive India’s economic growth, in line with the aspirations of becoming a USD 5 trillion economy. comprehensive two-sprint methodology to deliver a robust and actionable impact assessment of the Scheme for Investment Promotion (SIP). This approach integrates stakeholder insights, workflow diagnostics, and strategic solutioning ensuring all Target Groups (TGs) impacted by SIP are systematically analyzed and addressed.</v>
          </cell>
          <cell r="Q179"/>
          <cell r="R179">
            <v>45931</v>
          </cell>
          <cell r="S179">
            <v>7</v>
          </cell>
          <cell r="T179">
            <v>7</v>
          </cell>
          <cell r="U179"/>
          <cell r="V179" t="str">
            <v>On Schedule</v>
          </cell>
          <cell r="W179"/>
          <cell r="X179" t="str">
            <v>Within Budget</v>
          </cell>
          <cell r="Y179"/>
          <cell r="Z179" t="str">
            <v>Yes</v>
          </cell>
          <cell r="AA179"/>
          <cell r="AB179" t="str">
            <v>All deliverables met</v>
          </cell>
          <cell r="AC179"/>
          <cell r="AD179" t="str">
            <v>The purpose of this evaluation is to provide a comprehensive performance review of the SIP with the aim of strengthening India’s investment promotion ecosystem. The key objectives and expected outcomes include:
•	Measuring the scheme's effectiveness in achieving its overarching goal of transforming India into a globally competitive manufacturing and investment destination.
•	Identifying key areas for policy reform and improvement, while reinforcing the strengths and successful components of the current scheme.
•	Assessing the impact of SIP on critical national outcomes, including the inflow of capital, job creation, technology transfer, skill development, and overall productivity and innovation.
•	Providing forward-looking recommendations to enhance India’s attractiveness as an investment destination focusing on higher-quality investments, greater sectoral and geographic diversification, and long-term sustainability.
•	Supporting DPIIT in formulating strategies for the next phase of investment promotion based on evidence-driven insights and stakeholder feedback.</v>
          </cell>
          <cell r="AE179" t="str">
            <v>Framework Development, FGD and Draft Report Submission</v>
          </cell>
          <cell r="AF179" t="str">
            <v>Final Report Submission</v>
          </cell>
          <cell r="AG179"/>
        </row>
        <row r="180">
          <cell r="E180" t="str">
            <v>PP00305</v>
          </cell>
          <cell r="F180"/>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row>
        <row r="181">
          <cell r="E181" t="str">
            <v>PP00306</v>
          </cell>
          <cell r="F181"/>
          <cell r="G181"/>
          <cell r="H181"/>
          <cell r="I181"/>
          <cell r="J181"/>
          <cell r="K181"/>
          <cell r="L181"/>
          <cell r="M181"/>
          <cell r="N181"/>
          <cell r="O181"/>
          <cell r="P181"/>
          <cell r="Q181"/>
          <cell r="R181"/>
          <cell r="S181"/>
          <cell r="T181"/>
          <cell r="U181"/>
          <cell r="V181"/>
          <cell r="W181"/>
          <cell r="X181"/>
          <cell r="Y181"/>
          <cell r="Z181"/>
          <cell r="AA181"/>
          <cell r="AB181"/>
          <cell r="AC181"/>
          <cell r="AD181"/>
          <cell r="AE181"/>
          <cell r="AF181"/>
          <cell r="AG181"/>
        </row>
        <row r="182">
          <cell r="E182" t="str">
            <v>PP00307</v>
          </cell>
          <cell r="F182" t="str">
            <v>Income Based</v>
          </cell>
          <cell r="G182" t="str">
            <v>Nomination</v>
          </cell>
          <cell r="H182">
            <v>2681301</v>
          </cell>
          <cell r="I182" t="str">
            <v>Ongoing</v>
          </cell>
          <cell r="J182" t="str">
            <v>Department of Animal Husbandry &amp; Dairying (DAHD), Ministry of Fisheries, Animal Husbandry and Dairying, GoI</v>
          </cell>
          <cell r="K182" t="str">
            <v>Dairy Development</v>
          </cell>
          <cell r="L182">
            <v>45904</v>
          </cell>
          <cell r="M182">
            <v>46022</v>
          </cell>
          <cell r="N182" t="str">
            <v>NA</v>
          </cell>
          <cell r="O182"/>
          <cell r="P182" t="str">
            <v>Objective of the scheme is to assist Cooperative Societies and Farmer Producer Organizations (FPOs) engaged in dairy activities by providing soft working capital loans to help manage crises arising from adverse market conditions or natural calamities.
Objective of the scheme is to evaluate the gaps in implementation if any, qualitative aspects of implementation, and suggest measures for improvement in the future.</v>
          </cell>
          <cell r="Q182" t="str">
            <v>TPI/TPA/TPE</v>
          </cell>
          <cell r="R182">
            <v>45930</v>
          </cell>
          <cell r="S182">
            <v>0</v>
          </cell>
          <cell r="T182">
            <v>0</v>
          </cell>
          <cell r="U182"/>
          <cell r="V182" t="str">
            <v>On Schedule</v>
          </cell>
          <cell r="W182"/>
          <cell r="X182" t="str">
            <v>Within Budget</v>
          </cell>
          <cell r="Y182"/>
          <cell r="Z182" t="str">
            <v>Yes</v>
          </cell>
          <cell r="AA182"/>
          <cell r="AB182" t="str">
            <v>All deliverables met</v>
          </cell>
          <cell r="AC182"/>
          <cell r="AD182" t="str">
            <v>Evaluation Framework</v>
          </cell>
          <cell r="AE182" t="str">
            <v>Evaluation Framework &amp; Pilot Study for Inception Report</v>
          </cell>
          <cell r="AF182" t="str">
            <v>Primary Survey</v>
          </cell>
          <cell r="AG182" t="str">
            <v>Human Resources</v>
          </cell>
        </row>
        <row r="183">
          <cell r="E183" t="str">
            <v>PP00308</v>
          </cell>
          <cell r="F183"/>
          <cell r="G183"/>
          <cell r="H183"/>
          <cell r="I183"/>
          <cell r="J183"/>
          <cell r="K183"/>
          <cell r="L183"/>
          <cell r="M183"/>
          <cell r="N183"/>
          <cell r="O183"/>
          <cell r="P183"/>
          <cell r="Q183"/>
          <cell r="R183"/>
          <cell r="S183"/>
          <cell r="T183"/>
          <cell r="U183"/>
          <cell r="V183"/>
          <cell r="W183"/>
          <cell r="X183"/>
          <cell r="Y183"/>
          <cell r="Z183"/>
          <cell r="AA183"/>
          <cell r="AB183"/>
          <cell r="AC183"/>
          <cell r="AD183"/>
          <cell r="AE183"/>
          <cell r="AF183"/>
          <cell r="AG183"/>
        </row>
        <row r="184">
          <cell r="E184" t="str">
            <v>PP00309</v>
          </cell>
          <cell r="F184"/>
          <cell r="G184"/>
          <cell r="H184"/>
          <cell r="I184"/>
          <cell r="J184"/>
          <cell r="K184"/>
          <cell r="L184"/>
          <cell r="M184"/>
          <cell r="N184"/>
          <cell r="O184"/>
          <cell r="P184"/>
          <cell r="Q184"/>
          <cell r="R184"/>
          <cell r="S184"/>
          <cell r="T184"/>
          <cell r="U184"/>
          <cell r="V184"/>
          <cell r="W184"/>
          <cell r="X184"/>
          <cell r="Y184"/>
          <cell r="Z184"/>
          <cell r="AA184"/>
          <cell r="AB184"/>
          <cell r="AC184"/>
          <cell r="AD184"/>
          <cell r="AE184"/>
          <cell r="AF184"/>
          <cell r="AG184"/>
        </row>
        <row r="185">
          <cell r="E185" t="str">
            <v>PP00310</v>
          </cell>
          <cell r="F185"/>
          <cell r="G185"/>
          <cell r="H185"/>
          <cell r="I185"/>
          <cell r="J185"/>
          <cell r="K185"/>
          <cell r="L185"/>
          <cell r="M185"/>
          <cell r="N185"/>
          <cell r="O185"/>
          <cell r="P185"/>
          <cell r="Q185"/>
          <cell r="R185"/>
          <cell r="S185"/>
          <cell r="T185"/>
          <cell r="U185"/>
          <cell r="V185"/>
          <cell r="W185"/>
          <cell r="X185"/>
          <cell r="Y185"/>
          <cell r="Z185"/>
          <cell r="AA185"/>
          <cell r="AB185"/>
          <cell r="AC185"/>
          <cell r="AD185"/>
          <cell r="AE185"/>
          <cell r="AF185"/>
          <cell r="AG185"/>
        </row>
        <row r="186">
          <cell r="E186" t="str">
            <v>Yet to be generated</v>
          </cell>
          <cell r="F186" t="str">
            <v>Income Based</v>
          </cell>
          <cell r="G186" t="str">
            <v>Nomination</v>
          </cell>
          <cell r="H186">
            <v>24719040</v>
          </cell>
          <cell r="I186" t="str">
            <v>Ongoing</v>
          </cell>
          <cell r="J186" t="str">
            <v>Bureau of Police Research and Development, MHA</v>
          </cell>
          <cell r="K186" t="str">
            <v>Police Reforms &amp; Public Perception</v>
          </cell>
          <cell r="L186"/>
          <cell r="M186"/>
          <cell r="N186"/>
          <cell r="O186"/>
          <cell r="P186" t="str">
            <v>In line with the vision of PM to transform policing into a modern, data-driven, and citizen-centric force by 2047, the Bureau of Police Research and Development (BPR&amp;D) has started an initiative to rank 115 cities on key aspects of urban policing. Such as community-centric approach, technology driven approaches</v>
          </cell>
          <cell r="Q186" t="str">
            <v>TPI/TPA/TPE</v>
          </cell>
          <cell r="R186" t="str">
            <v>October 3, 2025</v>
          </cell>
          <cell r="S186"/>
          <cell r="T186"/>
          <cell r="U186"/>
          <cell r="V186"/>
          <cell r="W186"/>
          <cell r="X186"/>
          <cell r="Y186"/>
          <cell r="Z186"/>
          <cell r="AA186"/>
          <cell r="AB186"/>
          <cell r="AC186"/>
          <cell r="AD186"/>
          <cell r="AE186"/>
          <cell r="AF186"/>
          <cell r="AG186"/>
        </row>
        <row r="187">
          <cell r="E187"/>
          <cell r="F187"/>
          <cell r="G187"/>
          <cell r="H187"/>
          <cell r="I187"/>
          <cell r="J187"/>
          <cell r="K187"/>
          <cell r="L187"/>
          <cell r="M187"/>
          <cell r="N187"/>
          <cell r="O187"/>
          <cell r="P187"/>
          <cell r="Q187"/>
          <cell r="R187"/>
          <cell r="S187"/>
          <cell r="T187"/>
          <cell r="U187"/>
          <cell r="V187"/>
          <cell r="W187"/>
          <cell r="X187"/>
          <cell r="Y187"/>
          <cell r="Z187"/>
          <cell r="AA187"/>
          <cell r="AB187"/>
          <cell r="AC187"/>
          <cell r="AD187"/>
          <cell r="AE187"/>
          <cell r="AF187"/>
          <cell r="AG187"/>
        </row>
      </sheetData>
      <sheetData sheetId="1"/>
      <sheetData sheetId="2"/>
      <sheetData sheetId="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ra"/>
      <sheetName val="Combined Nov'25"/>
      <sheetName val="A &amp; F"/>
      <sheetName val="F &amp; H"/>
      <sheetName val="PF, P&amp;S"/>
      <sheetName val="T,C,W &amp; E "/>
      <sheetName val="Sheet1"/>
      <sheetName val="Nomination"/>
      <sheetName val="RFP"/>
    </sheetNames>
    <sheetDataSet>
      <sheetData sheetId="0"/>
      <sheetData sheetId="1">
        <row r="1">
          <cell r="E1" t="str">
            <v>Project Code</v>
          </cell>
          <cell r="F1" t="str">
            <v>Nature of Project</v>
          </cell>
          <cell r="G1" t="str">
            <v>Award Type</v>
          </cell>
          <cell r="H1" t="str">
            <v>Work Order Value</v>
          </cell>
          <cell r="I1" t="str">
            <v xml:space="preserve">Project Status </v>
          </cell>
          <cell r="J1" t="str">
            <v>Client/Ministry/Department Name</v>
          </cell>
          <cell r="K1" t="str">
            <v>Sector/Domain</v>
          </cell>
          <cell r="L1" t="str">
            <v>Project Start Date
(DD-MM-YYYY)</v>
          </cell>
          <cell r="M1" t="str">
            <v>Project End Date
(DD/MM/YYYY)</v>
          </cell>
          <cell r="N1" t="str">
            <v>Project Revised End Date
(DD/MM/YYYY)</v>
          </cell>
          <cell r="O1" t="str">
            <v>Extension comments</v>
          </cell>
          <cell r="P1" t="str">
            <v>Project Objective
 (in brief)</v>
          </cell>
        </row>
        <row r="2">
          <cell r="E2" t="str">
            <v>PB00012</v>
          </cell>
          <cell r="F2" t="str">
            <v>Pro-Bono</v>
          </cell>
          <cell r="H2" t="str">
            <v>N/A</v>
          </cell>
          <cell r="I2" t="str">
            <v>Ongoing</v>
          </cell>
          <cell r="J2" t="str">
            <v>Nashik Municipal Corporation</v>
          </cell>
          <cell r="K2" t="str">
            <v>Sanitaion, Education and Skill development</v>
          </cell>
          <cell r="L2">
            <v>45075</v>
          </cell>
          <cell r="M2">
            <v>46171</v>
          </cell>
          <cell r="P2" t="str">
            <v>QCI has been engaged by Nashik Municipal Corporation for one of its kind Quality City initiative aiming for situational analysis of different sectors and provide on ground implementation support for several initiatives.</v>
          </cell>
        </row>
        <row r="3">
          <cell r="E3" t="str">
            <v>PB00014</v>
          </cell>
          <cell r="F3" t="str">
            <v>Pro-Bono</v>
          </cell>
          <cell r="G3" t="str">
            <v>Nomination</v>
          </cell>
          <cell r="I3" t="str">
            <v>Fully Closed</v>
          </cell>
          <cell r="J3" t="str">
            <v>Cooperative</v>
          </cell>
          <cell r="K3" t="str">
            <v>Bio energy</v>
          </cell>
          <cell r="L3">
            <v>45087</v>
          </cell>
          <cell r="M3">
            <v>45475</v>
          </cell>
          <cell r="P3" t="str">
            <v>To assess the quality of Biogas getting produced at their Biogas plant located in Palanpur</v>
          </cell>
        </row>
        <row r="4">
          <cell r="E4" t="str">
            <v>PB00015</v>
          </cell>
          <cell r="F4" t="str">
            <v>Pro-Bono</v>
          </cell>
          <cell r="G4" t="str">
            <v>Nomination</v>
          </cell>
          <cell r="I4" t="str">
            <v>Fully Closed</v>
          </cell>
          <cell r="J4" t="str">
            <v>DFPD</v>
          </cell>
          <cell r="K4" t="str">
            <v>Food</v>
          </cell>
          <cell r="L4">
            <v>45055</v>
          </cell>
          <cell r="M4">
            <v>45239</v>
          </cell>
          <cell r="P4" t="str">
            <v>Conduct a study about the receipt of free-of-cost food grains under the scheme PMGKAY and beneficiary satisfaction through an on-ground survey.</v>
          </cell>
        </row>
        <row r="5">
          <cell r="E5" t="str">
            <v>PB00017</v>
          </cell>
          <cell r="F5" t="str">
            <v>Income Based</v>
          </cell>
          <cell r="H5">
            <v>246400</v>
          </cell>
          <cell r="I5" t="str">
            <v>Fully Closed</v>
          </cell>
          <cell r="J5" t="str">
            <v>SILF</v>
          </cell>
          <cell r="K5" t="str">
            <v>Social Impact</v>
          </cell>
          <cell r="L5">
            <v>44938</v>
          </cell>
          <cell r="M5">
            <v>45350</v>
          </cell>
          <cell r="P5" t="str">
            <v>To conduct an impact evaluation of the livelihoods project in the Champa district of Chhattisgarh which will analyze the impact of the project on the lives of the beneficiaries and their family members, any substantive change in their socio-economic standing.</v>
          </cell>
        </row>
        <row r="6">
          <cell r="E6" t="str">
            <v>PB00018</v>
          </cell>
          <cell r="F6" t="str">
            <v>Pro-Bono</v>
          </cell>
          <cell r="G6" t="str">
            <v>Nomination</v>
          </cell>
          <cell r="I6" t="str">
            <v>Fully Closed</v>
          </cell>
          <cell r="J6" t="str">
            <v>Ministry of Culture</v>
          </cell>
          <cell r="K6" t="str">
            <v>Arts, Culture &amp; Heritage</v>
          </cell>
          <cell r="L6">
            <v>45383</v>
          </cell>
          <cell r="M6">
            <v>45427</v>
          </cell>
          <cell r="P6" t="str">
            <v>The National Library functions as a Subordinative Office of the Ministry of Culture, Government of India. As part of Phase-1 Study of Organizations &amp; Central Sector Schemes of the Ministry of Culture, QCI had outlined broad recommendations for the National Library. The National Library then requested QCI to undertake a detailed review of its existing manpower, structure and governance models, and activities and make suggestions for changes. QCI reviewed the institution in detail: including their current recruitment rules, Staff Inspection Unit Report, and other previous reports highlighting human resource related issues of the National Library, governance, structure, objective and mandate. In order to understand the landscape further, QCI also studied organizational structures and hierarchy models of leading global libraries.</v>
          </cell>
        </row>
        <row r="7">
          <cell r="E7" t="str">
            <v>PB00019</v>
          </cell>
          <cell r="F7" t="str">
            <v>Pro-Bono</v>
          </cell>
          <cell r="G7" t="str">
            <v>Nomination</v>
          </cell>
          <cell r="I7" t="str">
            <v>Ongoing</v>
          </cell>
          <cell r="J7" t="str">
            <v>Shri Somnath Trust</v>
          </cell>
          <cell r="K7" t="str">
            <v>Tourism</v>
          </cell>
          <cell r="L7">
            <v>45385</v>
          </cell>
          <cell r="M7">
            <v>45999</v>
          </cell>
          <cell r="P7" t="str">
            <v>The Somnath Trust has enlisted QCI's expertise to  conduct electrical and safety audit, conduct training for temple staff and security personnel, conduct a thorough cleanliness assessment, guide the trust in setting up their in-house lab for testing food and prasad.</v>
          </cell>
        </row>
        <row r="8">
          <cell r="E8" t="str">
            <v>PP00001</v>
          </cell>
          <cell r="F8" t="str">
            <v>Income Based</v>
          </cell>
          <cell r="G8" t="str">
            <v>Nomination</v>
          </cell>
          <cell r="I8" t="str">
            <v>Ongoing</v>
          </cell>
          <cell r="J8" t="str">
            <v>Coal India Limited</v>
          </cell>
          <cell r="K8" t="str">
            <v>Coal</v>
          </cell>
          <cell r="L8">
            <v>42881</v>
          </cell>
          <cell r="M8">
            <v>46532</v>
          </cell>
          <cell r="P8" t="str">
            <v xml:space="preserve">Collection, preparation and analysis of coal at loading points for non- power consumers and power sector consumers </v>
          </cell>
        </row>
        <row r="9">
          <cell r="E9" t="str">
            <v>PP00031</v>
          </cell>
          <cell r="F9" t="str">
            <v>Income Based</v>
          </cell>
          <cell r="G9" t="str">
            <v>Nomination</v>
          </cell>
          <cell r="I9" t="str">
            <v>Fully Closed</v>
          </cell>
          <cell r="J9" t="str">
            <v>MoSJ</v>
          </cell>
          <cell r="K9" t="str">
            <v>Social Welfare</v>
          </cell>
          <cell r="L9">
            <v>42879</v>
          </cell>
          <cell r="M9" t="str">
            <v>NA</v>
          </cell>
          <cell r="P9" t="str">
            <v>Conducting Third-Party Assessment of selected products at ALIMCO's HQ and APCs. The annual assessment for ALIMCO's selected products is going on since 2018 wherein third-party assessment is being conducted at Kanpur and five Auxiliary Production Centers (APCs) of ALIMCO - Mohali, Ujjain, Jabalpur, Bhubaneswar and Bengaluru.</v>
          </cell>
        </row>
        <row r="10">
          <cell r="E10" t="str">
            <v>PP00037</v>
          </cell>
          <cell r="F10" t="str">
            <v>Income Based</v>
          </cell>
          <cell r="G10" t="str">
            <v>Nomination</v>
          </cell>
          <cell r="I10" t="str">
            <v>Fully Closed</v>
          </cell>
          <cell r="J10" t="str">
            <v>GeM</v>
          </cell>
          <cell r="K10" t="str">
            <v xml:space="preserve">Commerce </v>
          </cell>
          <cell r="L10">
            <v>43101</v>
          </cell>
          <cell r="M10">
            <v>45295</v>
          </cell>
          <cell r="P10" t="str">
            <v>The PMU is mandated to perform multiple activities as a knowledge and quality partner to GeM to assure quality in the procurement of goods and services, such as conducting research on global best practices in the relevant domain and assisting in its adaptation by GeM. Additionally, working closely with all the stakeholders in GeM, and is also responsible for all the validations of service providers and vendor assessment exemptions, along with promoting &amp; enhancing quality (by ensuring sanity in the marketplace and compliance checks), building capacities, and developing strategies, including, but not limited to creating a strategic framework for identification and validation of relevant seller/product/service certifications for both goods and services.</v>
          </cell>
        </row>
        <row r="11">
          <cell r="E11" t="str">
            <v>PP00047</v>
          </cell>
          <cell r="F11" t="str">
            <v>Income Based</v>
          </cell>
          <cell r="G11" t="str">
            <v>Nomination</v>
          </cell>
          <cell r="J11" t="str">
            <v>NHA/MoHFW</v>
          </cell>
          <cell r="K11" t="str">
            <v>Health</v>
          </cell>
          <cell r="L11">
            <v>43805</v>
          </cell>
          <cell r="M11">
            <v>45818</v>
          </cell>
          <cell r="P11" t="str">
            <v>Partnered with NHA to enhance patient satisfaction and to improve quality standards across the hospitals of the country by bringing a change in healthcare certifications through a unique digital certification initiative called ABPMJAY Quality Certification. Created a three-tier digital certification model (Gold, Silver and Bronze) for Ayushman Bharat with the aim of strengthening the healthcare ecosystem in India</v>
          </cell>
        </row>
        <row r="12">
          <cell r="E12" t="str">
            <v>PP00048</v>
          </cell>
          <cell r="F12" t="str">
            <v>Income Based</v>
          </cell>
          <cell r="G12" t="str">
            <v>Nomination</v>
          </cell>
          <cell r="H12" t="str">
            <v>Not fixed</v>
          </cell>
          <cell r="I12" t="str">
            <v>Ongoing</v>
          </cell>
          <cell r="J12" t="str">
            <v>Ministry of Finance</v>
          </cell>
          <cell r="K12" t="str">
            <v>Finance</v>
          </cell>
          <cell r="L12">
            <v>43468</v>
          </cell>
          <cell r="M12">
            <v>46022</v>
          </cell>
          <cell r="O12" t="str">
            <v>Project is on going and recurring due to the nature of transactions/ disinvestments.</v>
          </cell>
          <cell r="P12" t="str">
            <v>Department of Investment and Public Asset Management (DIPAM) deals with all matters relating to management of Central Government investments in equity including disinvestment of equity in Central Public Sector Enterprises(CPSE's). The three major areas of its work relates to Strategic Disinvestment, Minority Stake Sales and Capital Restructuring. All matters relating to sale of Central Government equity through offer for sale or private placement or any other mode as well as strategic disinvestment of CPSE's is dealt with in DIPAM. DIPAM is a Department under the Ministry of Finance.
• Project Monitoring: Professionals will have to monitor various transactions being carried out under the supervision of DIPAM. This will involve tracking progress, debottlenecking, stakeholder follow-ups.
• Due Diligence: Professionals will have to perform analysis on the feasibility of various ideas from strategic-financial perspective as and when required by DIPAM and produce ready reports for senior officials decision-making.</v>
          </cell>
        </row>
        <row r="13">
          <cell r="E13" t="str">
            <v>PP00052</v>
          </cell>
          <cell r="F13" t="str">
            <v>Income Based</v>
          </cell>
          <cell r="G13" t="str">
            <v>Nomination</v>
          </cell>
          <cell r="I13" t="str">
            <v>Ongoing</v>
          </cell>
          <cell r="J13" t="str">
            <v>FOOD AND DRUGS AUTHORITY, GOA</v>
          </cell>
          <cell r="K13" t="str">
            <v>Fishery</v>
          </cell>
          <cell r="L13">
            <v>43631</v>
          </cell>
          <cell r="M13" t="str">
            <v>As per requirements of DFDA, Goa</v>
          </cell>
          <cell r="P13" t="str">
            <v>FDA Goa has nominated QCI for Third-Party Testing of Fisheries to check the presence of added Formaldehyde. The samples are collected and tested for the presence of formaldehyde in fish and fishery products being consumed in Goa. QCI is checking each of the vehicles carrying fish entering Goa’s for two of it’s major state borders (Patradevi &amp; Polem) and in Margao wholesale fish market. The objective is to provide unadulterated fish for a healthy life to each individual in state of Goa.</v>
          </cell>
        </row>
        <row r="14">
          <cell r="E14" t="str">
            <v>PP00055</v>
          </cell>
          <cell r="F14" t="str">
            <v>Income Based</v>
          </cell>
          <cell r="G14" t="str">
            <v>Nomination</v>
          </cell>
          <cell r="I14" t="str">
            <v>Completed</v>
          </cell>
          <cell r="J14" t="str">
            <v>GeM</v>
          </cell>
          <cell r="K14" t="str">
            <v>Commerce</v>
          </cell>
          <cell r="L14">
            <v>43626</v>
          </cell>
          <cell r="M14">
            <v>45473</v>
          </cell>
          <cell r="O14" t="str">
            <v>Meeting with GeM CEO is pending.</v>
          </cell>
          <cell r="P14" t="str">
            <v>The Vendor Validation process is a mechanism for evaluation of vendors and their performance on various predefined parameters. It aims to recognize and bring out reliable vendors that consistently meet or exceed the expectations and requirements of the buyers. The primary objective of the project is to validate and authenticate vendors registering on the GeM portal, resulting in the elimination of deceitful vendors, compromising the quality of the products &amp; services. Furthermore, considering that all the products and services on the GeM portal are intended for government entities, it helps the buyers procure goods and services from reliable vendors offering high-quality products and services, thereby enhancing procurement efficiency, and reducing the risk of substandard products and services.</v>
          </cell>
        </row>
        <row r="15">
          <cell r="E15" t="str">
            <v>PP00070</v>
          </cell>
          <cell r="F15" t="str">
            <v>Income Based</v>
          </cell>
          <cell r="G15" t="str">
            <v>Nomination</v>
          </cell>
          <cell r="I15" t="str">
            <v>Fully Closed</v>
          </cell>
          <cell r="J15" t="str">
            <v>LAPL</v>
          </cell>
          <cell r="K15" t="str">
            <v>Coal</v>
          </cell>
          <cell r="L15">
            <v>43854</v>
          </cell>
          <cell r="M15">
            <v>45153</v>
          </cell>
          <cell r="P15" t="str">
            <v>Qualitative analysis of coal at mil bunker of Lanco Anpara Power Limited</v>
          </cell>
        </row>
        <row r="16">
          <cell r="E16" t="str">
            <v>PP00073</v>
          </cell>
          <cell r="F16" t="str">
            <v>Income Based</v>
          </cell>
          <cell r="G16" t="str">
            <v>Nomination</v>
          </cell>
          <cell r="H16">
            <v>10886400</v>
          </cell>
          <cell r="I16" t="str">
            <v>Ongoing</v>
          </cell>
          <cell r="J16" t="str">
            <v>Ministry of Finance</v>
          </cell>
          <cell r="L16">
            <v>43739</v>
          </cell>
          <cell r="M16">
            <v>45930</v>
          </cell>
          <cell r="N16">
            <v>46721</v>
          </cell>
        </row>
        <row r="17">
          <cell r="E17" t="str">
            <v>PP00076</v>
          </cell>
          <cell r="F17" t="str">
            <v>Income Based</v>
          </cell>
          <cell r="G17" t="str">
            <v>Nomination</v>
          </cell>
          <cell r="H17">
            <v>4008430</v>
          </cell>
          <cell r="I17" t="str">
            <v>Ongoing</v>
          </cell>
          <cell r="J17" t="str">
            <v>MHA</v>
          </cell>
          <cell r="M17">
            <v>45746</v>
          </cell>
          <cell r="N17">
            <v>46111</v>
          </cell>
        </row>
        <row r="18">
          <cell r="E18" t="str">
            <v>PP00087</v>
          </cell>
          <cell r="F18" t="str">
            <v>Income Based</v>
          </cell>
          <cell r="G18" t="str">
            <v>Tender</v>
          </cell>
          <cell r="I18" t="str">
            <v>Ongoing</v>
          </cell>
          <cell r="J18" t="str">
            <v>OCPL</v>
          </cell>
          <cell r="K18" t="str">
            <v>Coal</v>
          </cell>
          <cell r="L18">
            <v>43908</v>
          </cell>
          <cell r="M18">
            <v>45747</v>
          </cell>
          <cell r="N18">
            <v>46112</v>
          </cell>
          <cell r="P18" t="str">
            <v>We have been awarded work by competetive bidiing at Odisha Coal and Power Limited (OCPL) for quality analysis of coal at their mine end</v>
          </cell>
        </row>
        <row r="19">
          <cell r="E19" t="str">
            <v>PP00088</v>
          </cell>
          <cell r="F19" t="str">
            <v>Income Based</v>
          </cell>
          <cell r="G19" t="str">
            <v>Tender</v>
          </cell>
          <cell r="I19" t="str">
            <v>Ongoing</v>
          </cell>
          <cell r="J19" t="str">
            <v>JSWEBL</v>
          </cell>
          <cell r="K19" t="str">
            <v>Coal</v>
          </cell>
          <cell r="L19">
            <v>43839</v>
          </cell>
          <cell r="M19">
            <v>47361</v>
          </cell>
          <cell r="P19" t="str">
            <v>We have been awarded work by competetive bidiing at JSWEBL Barmer for Quality and Quantity analysis of coal at their plant end</v>
          </cell>
        </row>
        <row r="20">
          <cell r="E20" t="str">
            <v>PP00090</v>
          </cell>
          <cell r="F20" t="str">
            <v>Income Based</v>
          </cell>
          <cell r="G20" t="str">
            <v>Tender</v>
          </cell>
          <cell r="H20">
            <v>103136251.68000001</v>
          </cell>
          <cell r="I20" t="str">
            <v>Completed</v>
          </cell>
          <cell r="J20" t="str">
            <v>MoJS</v>
          </cell>
          <cell r="K20" t="str">
            <v>Water</v>
          </cell>
          <cell r="L20">
            <v>44124</v>
          </cell>
          <cell r="M20" t="str">
            <v>17/11/2025</v>
          </cell>
          <cell r="P20" t="str">
            <v xml:space="preserve">Quality Council of India has been engaged as the Third-Party Verification Agency by the Department of Water Resources, River Development and Ganga Rejuvenation, Ministry of Jal Shakti, Government of India to carry out independent verification of results in accordance with pre-defined indicators of the scheme. 
1. Atal Jal is the first of its kind scheme in the groundwater sector, which incentives the States for achieving 5 pre deﬁned targets linked to interventions for improved groundwater management. QCI has formulated the methodology and verification protocols to assess the performance of seven implementing states based on 5 indicators. 
2. QCI conducts the verification process in accordance with the established protocols, in two ways: (a) the field assessment, where QCI has conducted surveys, community interviews and structure visits (check-dams, wells, ponds, water-saving interventions, etc.); (b) desktop verification of the data collected, QCI has visited SPMU, CGWB and SGWD offices to procure the relevant data.  
3. QCI also conducts workshops in the seven implementing states to make them aware about the fundamentals of the assessment process, sensitise community people regarding water level and quality and encourage women and vulnerable group to actively take part in groundwater management. 
4. In addition to this, various key tasks of the TPGVA are establishing baseline data, data sampling, data monitoring and preparing performance reports with respect to achievement of performance indicator in the described time frame. 
</v>
          </cell>
        </row>
        <row r="21">
          <cell r="E21" t="str">
            <v>PP00096</v>
          </cell>
          <cell r="F21" t="str">
            <v>Income Based</v>
          </cell>
          <cell r="G21" t="str">
            <v>Nomination</v>
          </cell>
          <cell r="H21" t="str">
            <v>2,51,03,512
(April'25 - March'26)</v>
          </cell>
          <cell r="I21" t="str">
            <v>Ongoing</v>
          </cell>
          <cell r="J21" t="str">
            <v>MoHUA</v>
          </cell>
          <cell r="K21" t="str">
            <v>Social &amp; Financial Inclsuion</v>
          </cell>
          <cell r="L21">
            <v>44136</v>
          </cell>
          <cell r="M21">
            <v>46112</v>
          </cell>
          <cell r="N21">
            <v>46112</v>
          </cell>
          <cell r="O21" t="str">
            <v xml:space="preserve">Proposal for 1 Year extension (i.e. April'25 - March'26) already submitted to Ministry </v>
          </cell>
          <cell r="P21" t="str">
            <v>The PM-SVANidhi Scheme is extended by the Ministry of Housing and Urban Affairs (MoHUA) to 'SVANidhi Se Samriddhi' for empowering street vendors with holistic development and economic upliftment. The main objective is to conduct the socio-economic profiling of PM SVANidhi beneficiaries and their family members &amp; asses their potential eligibility for various schemes of the central government and facilitate linkage to these schemes.</v>
          </cell>
        </row>
        <row r="22">
          <cell r="E22" t="str">
            <v>PP00102</v>
          </cell>
          <cell r="F22" t="str">
            <v>Income Based</v>
          </cell>
          <cell r="G22" t="str">
            <v>Nomination</v>
          </cell>
          <cell r="I22" t="str">
            <v>Fully Closed</v>
          </cell>
          <cell r="J22" t="str">
            <v>FCI</v>
          </cell>
          <cell r="K22" t="str">
            <v>Food Security, Warehouses</v>
          </cell>
          <cell r="L22">
            <v>44317</v>
          </cell>
          <cell r="M22">
            <v>44592</v>
          </cell>
          <cell r="P22" t="str">
            <v>The objective was to assess 2147 FCI warehouses to evaluate safety standards, infrastructure, fire safety, theft prevention, grain treatments, and storage conditions. It also aimed to identify gaps between current and desired practices and recommend improvements, including technological interventions and best practices.</v>
          </cell>
        </row>
        <row r="23">
          <cell r="E23" t="str">
            <v>PP00114</v>
          </cell>
          <cell r="F23" t="str">
            <v>Income Based</v>
          </cell>
          <cell r="G23" t="str">
            <v>Nomination</v>
          </cell>
          <cell r="H23">
            <v>9923200</v>
          </cell>
          <cell r="I23" t="str">
            <v>Completed</v>
          </cell>
          <cell r="J23" t="str">
            <v>ONGC</v>
          </cell>
          <cell r="K23" t="str">
            <v>Healthcare &amp; Medical Devices Sector.</v>
          </cell>
          <cell r="L23">
            <v>44401</v>
          </cell>
          <cell r="M23">
            <v>44691</v>
          </cell>
          <cell r="P23" t="str">
            <v>The Government of India, through ONGC, is procuring 1 lakh Oxygen Concentrators (OCs) under the PM Cares Fund, with 70,000 units being manufactured domestically. To ensure the quality and reliability of these medical devices, QCI has been assigned the responsibility of conducting inspections and sample testing.
Key Aspects of the Project:
Manufacturers' Compliance: OCs must meet ISO 13485:2016 / ICMED 13485 standards and be tested in NABL-accredited labs.
Inspection Process:
On-Site Inspections at manufacturing units by NABCB-accredited bodies.
Sampling &amp; Testing based on ISO/IS standards.
Acceptance Quality Level (AQL): Strict criteria for defects.
External Testing (if required): In case of quality deviations.
Rejection &amp; Reconsideration: If a batch fails, it can be rectified and re-inspected. After two failures, it will be rejected.</v>
          </cell>
        </row>
        <row r="24">
          <cell r="E24" t="str">
            <v>PP00115</v>
          </cell>
          <cell r="F24" t="str">
            <v>Income Based</v>
          </cell>
          <cell r="G24" t="str">
            <v>Nomination</v>
          </cell>
          <cell r="I24" t="str">
            <v>Fully Closed</v>
          </cell>
          <cell r="J24" t="str">
            <v>CBC</v>
          </cell>
        </row>
        <row r="25">
          <cell r="E25" t="str">
            <v>PP00119</v>
          </cell>
          <cell r="F25" t="str">
            <v>Income Based</v>
          </cell>
          <cell r="G25" t="str">
            <v>Nomination</v>
          </cell>
          <cell r="I25" t="str">
            <v>Fully Closed</v>
          </cell>
          <cell r="J25" t="str">
            <v>NLC India Limited</v>
          </cell>
          <cell r="K25" t="str">
            <v>Coal</v>
          </cell>
          <cell r="L25">
            <v>45492</v>
          </cell>
          <cell r="M25">
            <v>46532</v>
          </cell>
          <cell r="P25" t="str">
            <v>NLC has nominated Quality Council of India (QCI) for quality analysis of coal at their mine end</v>
          </cell>
        </row>
        <row r="26">
          <cell r="E26" t="str">
            <v>PP00120</v>
          </cell>
          <cell r="F26" t="str">
            <v>Income Based</v>
          </cell>
          <cell r="G26" t="str">
            <v>Tender</v>
          </cell>
          <cell r="H26">
            <v>39503868</v>
          </cell>
          <cell r="I26" t="str">
            <v>Ongoing</v>
          </cell>
          <cell r="J26" t="str">
            <v>Department of Jal Shakti, HP</v>
          </cell>
          <cell r="K26" t="str">
            <v>Infrastructure, Water Supply</v>
          </cell>
          <cell r="L26">
            <v>44531</v>
          </cell>
          <cell r="M26">
            <v>45473</v>
          </cell>
          <cell r="N26">
            <v>46112</v>
          </cell>
          <cell r="O26" t="str">
            <v>Final invoice submission in coming month to the client</v>
          </cell>
          <cell r="P26" t="str">
            <v xml:space="preserve">Quality Council of India was envisioned for GoI's flagship in Jal Jeevan Mission in the State of Himachal Pradesh as a sector partner to provide Third Party Inspection of schemes. QCI was given the responsibility of checking the quality of work executed by the agencies in Himachal Pradesh, quality of material used for construction and quality of machinery installed in each of schemes
In addition, carrying out inspection of all engineering works relating to civil, mechanical and electrical components executed under the schemes of JJM and providing reports containing the regular updates and progress of the overall schemes on a month end basis is provided to the Mission Director, JJM, Shimla
</v>
          </cell>
        </row>
        <row r="27">
          <cell r="E27" t="str">
            <v>PP00125</v>
          </cell>
          <cell r="F27" t="str">
            <v>Income Based</v>
          </cell>
          <cell r="G27" t="str">
            <v>Nomination</v>
          </cell>
          <cell r="I27" t="str">
            <v>Fully Closed</v>
          </cell>
          <cell r="J27" t="str">
            <v>Parichha Thermal Power Project</v>
          </cell>
          <cell r="K27" t="str">
            <v>Coal</v>
          </cell>
          <cell r="L27">
            <v>44836</v>
          </cell>
          <cell r="M27">
            <v>45322</v>
          </cell>
          <cell r="P27" t="str">
            <v xml:space="preserve">Parichha Thermal Power Project has awarded work to Quality Council of India for carrying out sampling and analysis of indigenous coal at their unloading end. </v>
          </cell>
        </row>
        <row r="28">
          <cell r="E28" t="str">
            <v>PP00127</v>
          </cell>
          <cell r="F28" t="str">
            <v>Income Based</v>
          </cell>
          <cell r="G28" t="str">
            <v>Nomination</v>
          </cell>
          <cell r="I28" t="str">
            <v>Fully Closed</v>
          </cell>
          <cell r="J28" t="str">
            <v>DC Office, Jammu</v>
          </cell>
          <cell r="K28" t="str">
            <v>Water Conservation</v>
          </cell>
          <cell r="L28">
            <v>44745</v>
          </cell>
          <cell r="M28">
            <v>44601</v>
          </cell>
          <cell r="N28" t="str">
            <v>NA</v>
          </cell>
          <cell r="P28" t="str">
            <v xml:space="preserve">The purpose of the study is to do a mapping of water bodies in Jammu district for the below mentioned points:
# Geo-mapping of water bodies.
# Coding of Water bodies.
# Tentative area of Water bodies.
# Current status of Water bodies.
# Type of intervention required.
# Perimeter of Water bodies.
# Detailing of Topographic/ Description of area.
# Customized Dashboard for water bodies.
</v>
          </cell>
        </row>
        <row r="29">
          <cell r="E29" t="str">
            <v>PP00128</v>
          </cell>
          <cell r="F29" t="str">
            <v>Income Based</v>
          </cell>
          <cell r="G29" t="str">
            <v>Nomination</v>
          </cell>
          <cell r="I29" t="str">
            <v>Fully Closed</v>
          </cell>
          <cell r="J29" t="str">
            <v>DC Office, Jammu</v>
          </cell>
          <cell r="K29" t="str">
            <v>Capacity Building for ISO (9001:2015)</v>
          </cell>
          <cell r="L29">
            <v>44715</v>
          </cell>
          <cell r="M29">
            <v>44796</v>
          </cell>
          <cell r="N29" t="str">
            <v>NA</v>
          </cell>
          <cell r="P29" t="str">
            <v>The objective is to provide the capacity building support to DC Office Jammu to prepare them conversant and ready for ISO 9000:2015 implementation /certification.</v>
          </cell>
        </row>
        <row r="30">
          <cell r="E30" t="str">
            <v>PP00129</v>
          </cell>
          <cell r="F30" t="str">
            <v>Income Based</v>
          </cell>
          <cell r="G30" t="str">
            <v>Nomination</v>
          </cell>
          <cell r="I30" t="str">
            <v>Fully Closed</v>
          </cell>
          <cell r="J30" t="str">
            <v>FCI</v>
          </cell>
          <cell r="K30" t="str">
            <v>Food Security</v>
          </cell>
          <cell r="L30">
            <v>44540</v>
          </cell>
          <cell r="M30">
            <v>45203</v>
          </cell>
          <cell r="P30" t="str">
            <v xml:space="preserve">Conducted baseline assessment at 434 Grain Procurement Centers (Mandis) across 23 States and UTs on areas of Infrastructure and services, farmer satisfaction, and quality of the purchased grains across Kharif Marketing Season 2021-22 and Rabi Marketing Season 2022-23. </v>
          </cell>
        </row>
        <row r="31">
          <cell r="E31" t="str">
            <v>PP00132</v>
          </cell>
          <cell r="F31" t="str">
            <v>Income Based</v>
          </cell>
          <cell r="G31" t="str">
            <v>Tender</v>
          </cell>
          <cell r="I31" t="str">
            <v>Fully Closed</v>
          </cell>
          <cell r="J31" t="str">
            <v>MoHUA</v>
          </cell>
          <cell r="K31" t="str">
            <v xml:space="preserve">Urban Governance </v>
          </cell>
          <cell r="L31">
            <v>44684</v>
          </cell>
          <cell r="M31">
            <v>45372</v>
          </cell>
          <cell r="P31" t="str">
            <v>Asssited MoHUA in collecting and validating over 400 plus data points from 266 cities across India for the formulation of indcies - Ease of Living Index (EoLI) and Municipal Performance Index (MPI). Also conducted Citizen Perception Survey (CPS) to capture views of citizen about their cities.</v>
          </cell>
        </row>
        <row r="32">
          <cell r="E32" t="str">
            <v>PP00133</v>
          </cell>
          <cell r="F32" t="str">
            <v>Income Based</v>
          </cell>
          <cell r="G32" t="str">
            <v>Nomination</v>
          </cell>
          <cell r="H32">
            <v>9811334.8200000003</v>
          </cell>
          <cell r="I32" t="str">
            <v>Completed</v>
          </cell>
          <cell r="J32" t="str">
            <v>PHED, Govt. of Haryana</v>
          </cell>
          <cell r="K32" t="str">
            <v>Water</v>
          </cell>
          <cell r="L32">
            <v>44680</v>
          </cell>
          <cell r="M32">
            <v>45657</v>
          </cell>
          <cell r="N32" t="str">
            <v>-</v>
          </cell>
          <cell r="O32" t="str">
            <v>Extension is awaited, currently on hold</v>
          </cell>
          <cell r="P32" t="str">
            <v>QCI has been entrusted to conduct inspection of all engineering works (Civil, Electrical &amp; Mechanical), safety and labour payments related specifics as per the JJM guidelines. The aim is to provide recommendations post the Third-Party Inspection (TPI) in an efficient manner so that best quality is ensured for the water supply schemes, and access to safe and clean water is achieved</v>
          </cell>
        </row>
        <row r="33">
          <cell r="E33" t="str">
            <v>PP00134</v>
          </cell>
          <cell r="F33" t="str">
            <v>Income Based</v>
          </cell>
          <cell r="G33" t="str">
            <v>Nomination</v>
          </cell>
          <cell r="H33">
            <v>8949640</v>
          </cell>
          <cell r="I33" t="str">
            <v>Fully Closed</v>
          </cell>
          <cell r="J33" t="str">
            <v>Ministry of Culture</v>
          </cell>
          <cell r="K33" t="str">
            <v>Arts, Culture &amp; Heritage</v>
          </cell>
          <cell r="L33">
            <v>44706</v>
          </cell>
          <cell r="M33">
            <v>45238</v>
          </cell>
          <cell r="P33" t="str">
            <v xml:space="preserve">The Ministry of Culture has over 43 organizations and 24 central sector schemes, which are of vital importance to practice and promote India’s arts and culture sector. In 2022, the Ministry of Culture realized the need for a thorough review to reimagine its role in promoting India’s cultural heritage across India and abroad. The Ministry engaged QCI for a diagnostic study of its organizations and schemes. In this regard, QCI reviewed 43 institutions and all the central sector schemes under the ministry. </v>
          </cell>
        </row>
        <row r="34">
          <cell r="E34" t="str">
            <v>PP00141</v>
          </cell>
          <cell r="F34" t="str">
            <v>Income Based</v>
          </cell>
          <cell r="G34" t="str">
            <v>Nomination</v>
          </cell>
          <cell r="I34" t="str">
            <v>Ongoing</v>
          </cell>
          <cell r="J34" t="str">
            <v>NTPL</v>
          </cell>
          <cell r="K34" t="str">
            <v>Coal</v>
          </cell>
          <cell r="L34">
            <v>44749</v>
          </cell>
          <cell r="M34">
            <v>45838</v>
          </cell>
          <cell r="N34">
            <v>46112</v>
          </cell>
          <cell r="P34" t="str">
            <v>NTPL has awarded work for carrying out quantity and quality analysis of indigenous and import coal at their NCB-VOC port, Tuticorin</v>
          </cell>
        </row>
        <row r="35">
          <cell r="E35" t="str">
            <v>PP00143</v>
          </cell>
          <cell r="F35" t="str">
            <v>Income Based</v>
          </cell>
          <cell r="G35" t="str">
            <v>Nomination</v>
          </cell>
          <cell r="H35" t="str">
            <v>Rs 30,24,000 (Exlcluding Taxes) from 1st October, 2025, to 31st March, 2026.</v>
          </cell>
          <cell r="I35" t="str">
            <v>Ongoing</v>
          </cell>
          <cell r="J35" t="str">
            <v>Department of Administrative Reforms and Public Grievances</v>
          </cell>
          <cell r="K35" t="str">
            <v>Governance</v>
          </cell>
          <cell r="L35">
            <v>44756</v>
          </cell>
          <cell r="M35">
            <v>46112</v>
          </cell>
          <cell r="N35" t="str">
            <v>-</v>
          </cell>
          <cell r="O35" t="str">
            <v>The current work order is till 31st March 2026.</v>
          </cell>
          <cell r="P35" t="str">
            <v>Analysis and monitoring of grievances received on the CPGRAMS portal along with monitoring of resolution by Ministries/Departments, in order to report the status of CPGRAMS. The team prepares monthly reports on CPGRAMS which is shared with all the Ministries/Departments and State Governments by DARPG. Also, revamping exercise of categorsation of select Ministries/Departments is being done for the CPGRAMS Portal.</v>
          </cell>
        </row>
        <row r="36">
          <cell r="E36" t="str">
            <v>PP00146</v>
          </cell>
          <cell r="F36" t="str">
            <v>Income Based</v>
          </cell>
          <cell r="G36" t="str">
            <v>Nomination</v>
          </cell>
          <cell r="H36" t="str">
            <v>Rs. 65,52,000 (Exlcluding Taxes) from 1st April,2025, to 31st March, 2026.</v>
          </cell>
          <cell r="I36" t="str">
            <v>Ongoing</v>
          </cell>
          <cell r="J36" t="str">
            <v>Department of Administrative Reforms and Public Grievances</v>
          </cell>
          <cell r="K36" t="str">
            <v>Governance</v>
          </cell>
          <cell r="L36">
            <v>44783</v>
          </cell>
          <cell r="M36">
            <v>46112</v>
          </cell>
          <cell r="N36" t="str">
            <v>-</v>
          </cell>
          <cell r="O36" t="str">
            <v>The current work order is till 31st March, 2026.</v>
          </cell>
          <cell r="P36" t="str">
            <v>QCI’s PMU supports DARPG in monitoring the Special Campaign for Disposal of Pending Matters (SCDPM) to expedite resolution of pendencies such as MP references, Parliamentary Assurances, and public grievances across Central Ministries/Departments. The PMU prepares monthly reports covering SCDPM progress, eOffice analytics, and IEDM initiatives, which are shared with Ministries/Departments by DARPG. The team also assists in the on-ground implementation of Special Campaigns within the Central Secretariat.</v>
          </cell>
        </row>
        <row r="37">
          <cell r="E37" t="str">
            <v>PP00149</v>
          </cell>
          <cell r="F37" t="str">
            <v>Income Based</v>
          </cell>
          <cell r="G37" t="str">
            <v>Nomination</v>
          </cell>
          <cell r="H37">
            <v>8794800</v>
          </cell>
          <cell r="I37" t="str">
            <v>Fully Closed</v>
          </cell>
          <cell r="J37" t="str">
            <v>MoRTH</v>
          </cell>
          <cell r="K37" t="str">
            <v>Infrastructure</v>
          </cell>
          <cell r="L37">
            <v>44823</v>
          </cell>
          <cell r="M37">
            <v>45445</v>
          </cell>
          <cell r="P37" t="str">
            <v>QCI was entrusted again for the responsibility of conducting end to end process of National Highways Excellence Awards. Portal had been launced on 23rd August, 2022. NHEA was initiated in the year 2018 with an aim to recognize companies performing exceptionally &amp; delivering finest quality services in construction &amp; management of National Highways, and making strides to raise the bar of safety, innovation &amp; sustainability.</v>
          </cell>
        </row>
        <row r="38">
          <cell r="E38" t="str">
            <v>PP00151</v>
          </cell>
          <cell r="F38" t="str">
            <v>Income Based</v>
          </cell>
          <cell r="G38" t="str">
            <v>Nomination</v>
          </cell>
          <cell r="I38" t="str">
            <v>Ongoing</v>
          </cell>
          <cell r="J38" t="str">
            <v>Refex, SEPC, JPL Dhule, Ms Fuels, Omaxe</v>
          </cell>
          <cell r="K38" t="str">
            <v>Coal</v>
          </cell>
          <cell r="L38">
            <v>44804</v>
          </cell>
          <cell r="N38" t="str">
            <v>Ongping project - multiple clients</v>
          </cell>
          <cell r="P38" t="str">
            <v xml:space="preserve">This project inclues of all the projects with short duaration andthose  having less quantity work. QCI have been awarded for the qualitative ananlysis at their unloading/loading/mine/port end. </v>
          </cell>
        </row>
        <row r="39">
          <cell r="E39" t="str">
            <v>PP00153</v>
          </cell>
          <cell r="F39" t="str">
            <v>Income Based</v>
          </cell>
          <cell r="G39" t="str">
            <v>Nomination</v>
          </cell>
          <cell r="H39">
            <v>1396564</v>
          </cell>
          <cell r="I39" t="str">
            <v>Fully Closed</v>
          </cell>
          <cell r="J39" t="str">
            <v>DPIIT</v>
          </cell>
          <cell r="K39" t="str">
            <v>Leather &amp; Footwear</v>
          </cell>
          <cell r="L39">
            <v>44751</v>
          </cell>
          <cell r="M39">
            <v>44925</v>
          </cell>
          <cell r="N39" t="str">
            <v>NA</v>
          </cell>
          <cell r="P39" t="str">
            <v xml:space="preserve">1. Verification of training imparted for the Basic Footwear Cutting/Closing Operator training.
2. Verification of scholarship/stipend granted to trainees after successful completion of training, and
3. Verification of post-training employment records of the trainees.
</v>
          </cell>
        </row>
        <row r="40">
          <cell r="E40" t="str">
            <v>PP00155</v>
          </cell>
          <cell r="F40" t="str">
            <v>Income Based</v>
          </cell>
          <cell r="G40" t="str">
            <v>Nomination</v>
          </cell>
          <cell r="H40">
            <v>9000000</v>
          </cell>
          <cell r="I40" t="str">
            <v>Completed</v>
          </cell>
          <cell r="J40" t="str">
            <v xml:space="preserve">Lanco Amarkantak </v>
          </cell>
          <cell r="K40" t="str">
            <v>Coal</v>
          </cell>
          <cell r="L40">
            <v>44883</v>
          </cell>
          <cell r="M40">
            <v>45626</v>
          </cell>
          <cell r="P40" t="str">
            <v xml:space="preserve">Lanco Amarkantak Power Limited has awarded work to Quality Council of India for carrying out sampling and analysis of indigenous  and import coal at their unloading end. </v>
          </cell>
        </row>
        <row r="41">
          <cell r="E41" t="str">
            <v>PP00156</v>
          </cell>
          <cell r="F41" t="str">
            <v>Income Based</v>
          </cell>
          <cell r="G41" t="str">
            <v>Nomination</v>
          </cell>
          <cell r="H41" t="str">
            <v>Rs. 13,44,000 (Excluding Taxes)</v>
          </cell>
          <cell r="I41" t="str">
            <v>Ongoing</v>
          </cell>
          <cell r="J41" t="str">
            <v>DPIIT</v>
          </cell>
          <cell r="K41" t="str">
            <v>Governance</v>
          </cell>
          <cell r="L41">
            <v>44865</v>
          </cell>
          <cell r="M41">
            <v>44957</v>
          </cell>
          <cell r="N41">
            <v>46022</v>
          </cell>
          <cell r="O41" t="str">
            <v>No formal extension. Final submitted report is yet to get approval.</v>
          </cell>
          <cell r="P41" t="str">
            <v>The assessment focuses on adjudging the quality and agility with regard to DPIIT’s functioning and service delivery through their administrative processes. The pilot study conducted may be replicated across Ministries / Departments once the baseline/benchmark is established on the basis of the result produced in pilot study.</v>
          </cell>
        </row>
        <row r="42">
          <cell r="E42" t="str">
            <v>PP00157</v>
          </cell>
          <cell r="F42" t="str">
            <v>Income Based</v>
          </cell>
          <cell r="G42" t="str">
            <v>Nomination</v>
          </cell>
          <cell r="H42">
            <v>12509160</v>
          </cell>
          <cell r="I42" t="str">
            <v>Fully Closed</v>
          </cell>
          <cell r="J42" t="str">
            <v>Samagra Shiksha, Department of Education, AP</v>
          </cell>
          <cell r="K42" t="str">
            <v>Education</v>
          </cell>
          <cell r="L42">
            <v>44902</v>
          </cell>
          <cell r="M42">
            <v>45023</v>
          </cell>
          <cell r="P42" t="str">
            <v>The Department of School Education onboarded QCI as a quality assurance partner to ensure that the procured products meet 100% compliance with the specified Indian Standards. This partnership is critical to guaranteeing that only quality products are delivered to the end beneficiaries, thereby maintaining trust and achieving the scheme's objectives.</v>
          </cell>
        </row>
        <row r="43">
          <cell r="E43" t="str">
            <v>PP00158</v>
          </cell>
          <cell r="F43" t="str">
            <v>Income Based</v>
          </cell>
          <cell r="G43" t="str">
            <v>Nomination</v>
          </cell>
          <cell r="H43">
            <v>800000</v>
          </cell>
          <cell r="I43" t="str">
            <v>Completed</v>
          </cell>
          <cell r="J43" t="str">
            <v>NTPC</v>
          </cell>
          <cell r="K43" t="str">
            <v>Coal</v>
          </cell>
          <cell r="L43">
            <v>44632</v>
          </cell>
          <cell r="M43">
            <v>45596</v>
          </cell>
          <cell r="P43" t="str">
            <v>NTPC-SAIL Power Company Limited has awarded work to Quality Council of India for carrying out sampling and analysis of coal at their unloading end.</v>
          </cell>
        </row>
        <row r="44">
          <cell r="E44" t="str">
            <v>PP00159</v>
          </cell>
          <cell r="F44" t="str">
            <v>Income Based</v>
          </cell>
          <cell r="G44" t="str">
            <v>Nomination</v>
          </cell>
          <cell r="H44">
            <v>2490880</v>
          </cell>
          <cell r="I44" t="str">
            <v>Fully Closed</v>
          </cell>
          <cell r="J44" t="str">
            <v>DPIIT</v>
          </cell>
          <cell r="K44" t="str">
            <v>Leather &amp; Footwear</v>
          </cell>
          <cell r="L44">
            <v>44909</v>
          </cell>
          <cell r="M44">
            <v>45031</v>
          </cell>
          <cell r="N44" t="str">
            <v>NA</v>
          </cell>
          <cell r="P44" t="str">
            <v>1. Verification of training imparted for the Basic Closing Operator – Goods &amp; Garments or Basic Closing Operator – Footwear.
2. Verification of scholarship/stipend granted to trainees after successful completion of training.
3. Verification of post-training employment records of the trainees.</v>
          </cell>
        </row>
        <row r="45">
          <cell r="E45" t="str">
            <v>PP00160</v>
          </cell>
          <cell r="F45" t="str">
            <v>Income Based</v>
          </cell>
          <cell r="G45" t="str">
            <v>Nomination</v>
          </cell>
          <cell r="H45">
            <v>9294880</v>
          </cell>
          <cell r="I45" t="str">
            <v>Fully Closed</v>
          </cell>
          <cell r="J45" t="str">
            <v>FCI</v>
          </cell>
          <cell r="K45" t="str">
            <v>Food Security</v>
          </cell>
          <cell r="L45">
            <v>44902</v>
          </cell>
          <cell r="M45">
            <v>45016</v>
          </cell>
          <cell r="P45" t="str">
            <v>Entrusted with the task of re-assessment of 492 FCI warehouses</v>
          </cell>
        </row>
        <row r="46">
          <cell r="E46" t="str">
            <v>PP00161</v>
          </cell>
          <cell r="F46" t="str">
            <v>Income Based</v>
          </cell>
          <cell r="G46" t="str">
            <v>Nomination</v>
          </cell>
          <cell r="H46">
            <v>3095680</v>
          </cell>
          <cell r="I46" t="str">
            <v>Completed</v>
          </cell>
          <cell r="J46" t="str">
            <v>MoJS (NRCD)</v>
          </cell>
          <cell r="K46" t="str">
            <v>Water &amp; Sanitation</v>
          </cell>
          <cell r="L46">
            <v>45119</v>
          </cell>
          <cell r="M46">
            <v>45485</v>
          </cell>
          <cell r="O46" t="str">
            <v>Final submitted report is yet to get approval</v>
          </cell>
          <cell r="P46" t="str">
            <v>Pan-India Assessment of 86 Sewage Treatment Plants (STPs) which falls under NRCD</v>
          </cell>
        </row>
        <row r="47">
          <cell r="E47" t="str">
            <v>PP00162</v>
          </cell>
          <cell r="F47" t="str">
            <v>Income Based</v>
          </cell>
          <cell r="G47" t="str">
            <v>Nomination</v>
          </cell>
          <cell r="H47">
            <v>2714946.78</v>
          </cell>
          <cell r="I47" t="str">
            <v>Fully Closed</v>
          </cell>
          <cell r="J47" t="str">
            <v>U.P. Projects Corporation Ltd.</v>
          </cell>
          <cell r="K47" t="str">
            <v>Infrastructure</v>
          </cell>
          <cell r="L47">
            <v>44986</v>
          </cell>
          <cell r="M47">
            <v>45382</v>
          </cell>
          <cell r="P47" t="str">
            <v>QCI was contracted by UPPCL to perform inspections on projects associated with Panchkosi Yatra, as well as other Yatras such as Asht Vinayak Yatra, Kashi mai Chaar Dham Yatra, Kashi Vishnu Yatra, Kashi Bhairav Yatra, and various other Yatras in the city of Varanasi. 
The inspection also encompasses Rameshwar Ghat and Jai Vinayak Ghat, with a specific focus on evaluating the presence and adequacy of toe walls, breast walls, retaining walls, and other structural elements required in Ghats. The objective was to conduct inspections throughout the construction phase of the projects in order to assess the quality of the ongoing works executed by UPPCL.</v>
          </cell>
        </row>
        <row r="48">
          <cell r="E48" t="str">
            <v>PP00163</v>
          </cell>
          <cell r="F48" t="str">
            <v>Income Based</v>
          </cell>
          <cell r="G48" t="str">
            <v>Nomination</v>
          </cell>
          <cell r="H48">
            <v>4525498</v>
          </cell>
          <cell r="I48" t="str">
            <v>Fully Closed</v>
          </cell>
          <cell r="J48" t="str">
            <v>Ministry of Housing and Urban Affairs (MoHUA)</v>
          </cell>
          <cell r="K48" t="str">
            <v>Infrastructure &amp; Governance</v>
          </cell>
          <cell r="L48">
            <v>45231</v>
          </cell>
          <cell r="M48">
            <v>45201</v>
          </cell>
          <cell r="N48">
            <v>45205</v>
          </cell>
          <cell r="P48" t="str">
            <v>Safety And security Assessment of ICCC</v>
          </cell>
        </row>
        <row r="49">
          <cell r="E49" t="str">
            <v>PP00164</v>
          </cell>
          <cell r="F49" t="str">
            <v>Income Based</v>
          </cell>
          <cell r="G49" t="str">
            <v>Tender</v>
          </cell>
          <cell r="H49">
            <v>132411267</v>
          </cell>
          <cell r="I49" t="str">
            <v>Fully Closed</v>
          </cell>
          <cell r="J49" t="str">
            <v>SBM III/ PHE Division, MoHUA</v>
          </cell>
          <cell r="K49" t="str">
            <v xml:space="preserve">Sanitation </v>
          </cell>
          <cell r="L49">
            <v>44999</v>
          </cell>
          <cell r="M49">
            <v>45298</v>
          </cell>
          <cell r="P49" t="str">
            <v>Conducted Independent Assessment and Certification of the urban loacal bodies for SBM ODF Protocols and Star rating Protocol.</v>
          </cell>
        </row>
        <row r="50">
          <cell r="E50" t="str">
            <v>PP00167</v>
          </cell>
          <cell r="F50" t="str">
            <v>Income Based</v>
          </cell>
          <cell r="G50" t="str">
            <v>Nomination</v>
          </cell>
          <cell r="H50">
            <v>1013148</v>
          </cell>
          <cell r="I50" t="str">
            <v>Fully Closed</v>
          </cell>
          <cell r="J50" t="str">
            <v>India Trade Promotion Organisation</v>
          </cell>
          <cell r="K50" t="str">
            <v>Infrastructure</v>
          </cell>
          <cell r="L50">
            <v>45139</v>
          </cell>
          <cell r="M50">
            <v>45061</v>
          </cell>
          <cell r="P50" t="str">
            <v>Third party inspection of box Girders and trusses of convention centre which were part of ongoing preparation of G20 summit.</v>
          </cell>
        </row>
        <row r="51">
          <cell r="E51" t="str">
            <v>PP00168</v>
          </cell>
          <cell r="F51" t="str">
            <v>Income Based</v>
          </cell>
          <cell r="G51" t="str">
            <v>Nomination</v>
          </cell>
          <cell r="H51" t="str">
            <v>Rs. 65,52,000 (Exlcluding Taxes) from 1st April,2025, to 31st March, 2026.</v>
          </cell>
          <cell r="I51" t="str">
            <v>Ongoing</v>
          </cell>
          <cell r="J51" t="str">
            <v>Department of Administrative Reforms and Public Grievances</v>
          </cell>
          <cell r="K51" t="str">
            <v>Governance</v>
          </cell>
          <cell r="L51">
            <v>44964</v>
          </cell>
          <cell r="M51">
            <v>46112</v>
          </cell>
          <cell r="N51" t="str">
            <v>-</v>
          </cell>
          <cell r="O51" t="str">
            <v>The current work order is till 31st March, 2026.</v>
          </cell>
          <cell r="P51" t="str">
            <v>National e-Governance Service Delivery Assessment (NeSDA) assesses and benchmarks State/UTs and Central Govt. on the depth and effectiveness of e-governance service delivery. The NeSDA PMU assists DARPG to monitor and evaluate the implementation of recommendations given in the NeSDA 2021 report, along with assisting in National eGovernance Webinar Series, RTS meetings etc.</v>
          </cell>
        </row>
        <row r="52">
          <cell r="E52" t="str">
            <v>PP00170</v>
          </cell>
          <cell r="F52" t="str">
            <v>Income Based</v>
          </cell>
          <cell r="G52" t="str">
            <v>Tender</v>
          </cell>
          <cell r="H52">
            <v>13336271.189999999</v>
          </cell>
          <cell r="I52" t="str">
            <v>Completed</v>
          </cell>
          <cell r="J52" t="str">
            <v>NBCC</v>
          </cell>
          <cell r="K52" t="str">
            <v xml:space="preserve">Infrastructure </v>
          </cell>
          <cell r="L52">
            <v>44998</v>
          </cell>
          <cell r="M52">
            <v>45701</v>
          </cell>
          <cell r="O52" t="str">
            <v>Last Payment of Rs. 4.5 Lakhs awaited from client</v>
          </cell>
          <cell r="P52" t="str">
            <v xml:space="preserve">The objective of the project was to conduct a TPI of Redevelopment of Residential Colony of AIIMSQCI was entrusted with conducting quality assurances for Civil structures, materials and workmanship of civil, plumbing, electrical, mechanical, MEP, external development and all other allied works required to complete the project at appropriate stages of construction. Responsibility of QCI included highlighting the problem area, if any, and suggesting step/solution for the same to achieve the overall target of quality assurance. </v>
          </cell>
        </row>
        <row r="53">
          <cell r="E53" t="str">
            <v>PP00173</v>
          </cell>
          <cell r="F53" t="str">
            <v>Income Based</v>
          </cell>
          <cell r="G53" t="str">
            <v>Tender</v>
          </cell>
          <cell r="H53">
            <v>3787840</v>
          </cell>
          <cell r="I53" t="str">
            <v>Completed</v>
          </cell>
          <cell r="J53" t="str">
            <v>Bhopal Municipal Corporation</v>
          </cell>
          <cell r="K53" t="str">
            <v>Sanitation</v>
          </cell>
          <cell r="L53">
            <v>44960</v>
          </cell>
          <cell r="M53">
            <v>45746</v>
          </cell>
          <cell r="P53" t="str">
            <v xml:space="preserve">The project focuses on assessing Bhopal Municipal Corporation's (BMC) compliance with water supply benchmarks, including coverage, quality, quantity, and user charge reforms, to align with national standards. It will evaluate BMC’s water supply management practices and operational efficiency of sewage and water treatment plants, identifying opportunities for optimization. Strategies to reduce non-revenue water (NRW) will include creating district metered areas (DMAs) and training programs to minimize leakages. To date, QCI has conducted three quarterly assessments, bringing significant improvements to BMC's water management segment. </v>
          </cell>
        </row>
        <row r="54">
          <cell r="E54" t="str">
            <v>PP00175</v>
          </cell>
          <cell r="F54" t="str">
            <v>Income Based</v>
          </cell>
          <cell r="G54" t="str">
            <v>Nomination</v>
          </cell>
          <cell r="H54">
            <v>8584800</v>
          </cell>
          <cell r="I54" t="str">
            <v>Completed</v>
          </cell>
          <cell r="J54" t="str">
            <v>MoHUA</v>
          </cell>
          <cell r="K54" t="str">
            <v>Finance</v>
          </cell>
          <cell r="L54">
            <v>45140</v>
          </cell>
          <cell r="M54">
            <v>45412</v>
          </cell>
          <cell r="N54">
            <v>45473</v>
          </cell>
          <cell r="O54" t="str">
            <v xml:space="preserve">The final rankings and the guidelines were being re-visited after which the Code of Conduct was implemented and the elections were held. </v>
          </cell>
          <cell r="P54" t="str">
            <v xml:space="preserve">Collected and conducted assessment of the financial data of the ULBs, to rank them on certain parameters. Also provided outreach, training and support to the states and the ULBs in submitting their data. </v>
          </cell>
        </row>
        <row r="55">
          <cell r="E55" t="str">
            <v>PP00176</v>
          </cell>
          <cell r="F55" t="str">
            <v>Income Based</v>
          </cell>
          <cell r="G55" t="str">
            <v>Tender</v>
          </cell>
          <cell r="H55">
            <v>8016816</v>
          </cell>
          <cell r="I55" t="str">
            <v>Ongoing</v>
          </cell>
          <cell r="J55" t="str">
            <v>Kanpur Electricity Supply Company</v>
          </cell>
          <cell r="K55" t="str">
            <v xml:space="preserve">Electrical </v>
          </cell>
          <cell r="L55">
            <v>44999</v>
          </cell>
          <cell r="M55">
            <v>45702</v>
          </cell>
          <cell r="N55">
            <v>45900</v>
          </cell>
          <cell r="O55" t="str">
            <v>Request for extension has been made to the client, awaiting extension from their end.</v>
          </cell>
          <cell r="P55" t="str">
            <v>The work of inspection shall include the inspection of quality of erection works executed under RDSS Project, at various locations of KESCo, Kanpur. Following is the scope of work 
• To monitor the quality assurance mechanism (QAM) including verification and inspections of erection work
• Carry out field inspections on sample basis during implementation to verify works are carried out in compliance to technical specifications and acceptable quality of workmanship.
• Issue Site Observation Reports (SOR) and follow-up with the subcontractor/manufacturer for implementation of any remedial actions.
• Upon completion of activity, carry out joint inspections together with the KESCo’s staff and for final measurements and quality inspections.
• Follow-up any on technical issues for corrective action during defects liability period with the subcontractor/manufacturer.
• Formulation of detail comprehensive quality assurance mechanism plan/GTP as case may be for work to be carried out under RDSS scheme with objective to create quality infrastructure.</v>
          </cell>
        </row>
        <row r="56">
          <cell r="E56" t="str">
            <v>PP00177</v>
          </cell>
          <cell r="F56" t="str">
            <v>Income Based</v>
          </cell>
          <cell r="G56" t="str">
            <v>Nomination</v>
          </cell>
          <cell r="H56">
            <v>3497150</v>
          </cell>
          <cell r="I56" t="str">
            <v>Completed</v>
          </cell>
          <cell r="J56" t="str">
            <v>Construction &amp; Design Services U.P. Jal Nigam</v>
          </cell>
          <cell r="K56" t="str">
            <v xml:space="preserve">Infrastructure </v>
          </cell>
          <cell r="L56">
            <v>44930</v>
          </cell>
          <cell r="M56">
            <v>45661</v>
          </cell>
          <cell r="N56" t="str">
            <v>No extension needed as no additional visits may be required, awaiting final decision from the client</v>
          </cell>
          <cell r="O56" t="str">
            <v xml:space="preserve">This is a visit-based project. Out of 8 visits, 6 visits have been completed and 2 site visits remaining. </v>
          </cell>
          <cell r="P56" t="str">
            <v xml:space="preserve">QCI has been entrusted by C&amp;DS U.P. Jal Nigam to conduct Third Party Inspections (TPI) at Dr. Bhim Rao Ambedkar International Stadium in the city of Ayodhya. The construction of the cricket stadium started back in 2006, but unfortunately, the project was halted back in 2017 and couldn’t be completed. The objective is to conduct TPI throughout the construction phase of the project in order to assess the quality and perform non-destructive test of the existing and ongoing works.  </v>
          </cell>
        </row>
        <row r="57">
          <cell r="E57" t="str">
            <v>PP00178</v>
          </cell>
          <cell r="F57" t="str">
            <v>Income Based</v>
          </cell>
          <cell r="G57" t="str">
            <v>Nomination</v>
          </cell>
          <cell r="H57">
            <v>200000</v>
          </cell>
          <cell r="I57" t="str">
            <v>Fully Closed</v>
          </cell>
          <cell r="J57" t="str">
            <v>Capacity Building Commission</v>
          </cell>
          <cell r="K57" t="str">
            <v>Social Impact</v>
          </cell>
          <cell r="L57">
            <v>45013</v>
          </cell>
          <cell r="M57">
            <v>44933</v>
          </cell>
          <cell r="P57" t="str">
            <v>QCI has been contracted by CBC to conduct an assessment aimed at measuring the impact of the training program implemented throughout the Union Territory of Jammu and Kashmir. The impact assessment was carried out in both divisions of Jammu and Kashmir, four police stations were selected from each division by CBC for the assessment. The objective of the project is to evaluate the impact of the Mission Karmayogi training provided to police personnel in Jammu and Kashmir. This training encompassed behavioral aspects and a curriculum focused on societal betterment to promote community inclusiveness.</v>
          </cell>
        </row>
        <row r="58">
          <cell r="E58" t="str">
            <v>PP00179</v>
          </cell>
          <cell r="F58" t="str">
            <v>Income Based</v>
          </cell>
          <cell r="G58" t="str">
            <v>Nomination</v>
          </cell>
          <cell r="H58">
            <v>3141600</v>
          </cell>
          <cell r="I58" t="str">
            <v>Fully Closed</v>
          </cell>
          <cell r="J58" t="str">
            <v>Virgo Communications and Exhibitions Pvt. Ltd.</v>
          </cell>
          <cell r="K58" t="str">
            <v>Infrastructure</v>
          </cell>
          <cell r="L58">
            <v>45050</v>
          </cell>
          <cell r="M58">
            <v>45415</v>
          </cell>
          <cell r="P58" t="str">
            <v>QCI has been appointed by Virgo Communications as a Technical Evaluation Partner with the purpose of developing a platform for the Elevator Industry and introducing the inaugural Elevator Awards in India. These awards aim to acknowledge technological advancements and provide incentives to the key players in the industry.
The project seeks to recognize and reward stakeholders who demonstrate exceptional performance and deliver high-quality services in areas such as Design, Adaptation, Implementation of Technology, and Management of Elevators and Escalators. The primary goal of this initiative is to elevate standards of Safety, Quality, and User-Experience in the Elevator and Escalator industry.</v>
          </cell>
        </row>
        <row r="59">
          <cell r="E59" t="str">
            <v>PP00181</v>
          </cell>
          <cell r="F59" t="str">
            <v>Income Based</v>
          </cell>
          <cell r="H59">
            <v>63941651</v>
          </cell>
          <cell r="I59" t="str">
            <v>Fully Closed</v>
          </cell>
          <cell r="J59" t="str">
            <v>Ministry of MHA</v>
          </cell>
          <cell r="K59" t="str">
            <v>Law Enforcement Agencies (LEAs)</v>
          </cell>
          <cell r="L59">
            <v>45037</v>
          </cell>
          <cell r="M59">
            <v>45254</v>
          </cell>
          <cell r="N59">
            <v>45315</v>
          </cell>
          <cell r="P59" t="str">
            <v>1.) The overall objective of the study is to do a baseline study and an impact assessment of the last eight (8) DGsP/IGsP Conferences from 2014 until 2021.
2.) To understand the status, impact, awareness, and level of surveillance on the implementation of the recommendations, in each State and Union Territory including CAPFs, CPOs &amp; Prison Department.
3.) To study recommendations mapped to SMART Policing and Prison Reforms.</v>
          </cell>
        </row>
        <row r="60">
          <cell r="E60" t="str">
            <v>PP00183</v>
          </cell>
          <cell r="F60" t="str">
            <v>Income Based</v>
          </cell>
          <cell r="G60" t="str">
            <v>Nomination</v>
          </cell>
          <cell r="H60" t="str">
            <v>Rs. 18,90,000 (Excluding Taxes)</v>
          </cell>
          <cell r="I60" t="str">
            <v>Ongoing</v>
          </cell>
          <cell r="J60" t="str">
            <v>General Administration Department, Government of Maharashtra</v>
          </cell>
          <cell r="K60" t="str">
            <v>Governance</v>
          </cell>
          <cell r="L60">
            <v>45043</v>
          </cell>
          <cell r="M60">
            <v>45104</v>
          </cell>
          <cell r="N60">
            <v>46022</v>
          </cell>
          <cell r="O60" t="str">
            <v>No formal extension. Final submitted report is yet to get approval.</v>
          </cell>
          <cell r="P60" t="str">
            <v>The Government of Maharashtra is conducting an evaluation study in all its districts and Secretariat administration through QCI using the four pronged approach, as done by QCI for DARPG of the Central Secretariat,. The aim of the project is to evaluate the consequences of these measures on overall functioning and work productivity of the departments.</v>
          </cell>
        </row>
        <row r="61">
          <cell r="E61" t="str">
            <v>PP00184</v>
          </cell>
          <cell r="F61" t="str">
            <v>Income Based</v>
          </cell>
          <cell r="G61" t="str">
            <v>Tender</v>
          </cell>
          <cell r="H61">
            <v>1475170</v>
          </cell>
          <cell r="I61" t="str">
            <v>Fully Closed</v>
          </cell>
          <cell r="J61" t="str">
            <v>PMRF, IIT Madras</v>
          </cell>
          <cell r="K61" t="str">
            <v>Education</v>
          </cell>
          <cell r="L61">
            <v>45076</v>
          </cell>
          <cell r="M61">
            <v>45196</v>
          </cell>
          <cell r="N61" t="str">
            <v>NA</v>
          </cell>
          <cell r="P61" t="str">
            <v>1. To understand and document the impact of the scheme on its stakeholders.
2. Benefits/impact to all stakeholders to be quantified.</v>
          </cell>
        </row>
        <row r="62">
          <cell r="E62" t="str">
            <v>PP00185</v>
          </cell>
          <cell r="F62" t="str">
            <v>Income Based</v>
          </cell>
          <cell r="G62" t="str">
            <v>Nomination</v>
          </cell>
          <cell r="H62">
            <v>7013130</v>
          </cell>
          <cell r="I62" t="str">
            <v>Fully Closed</v>
          </cell>
          <cell r="J62" t="str">
            <v>CWC</v>
          </cell>
          <cell r="K62" t="str">
            <v>Food Security</v>
          </cell>
          <cell r="L62">
            <v>45001</v>
          </cell>
          <cell r="M62">
            <v>45189</v>
          </cell>
          <cell r="P62" t="str">
            <v>The objective was to assess 376 CWC warehouses to evaluate safety standards, infrastructure, fire safety, theft prevention, grain treatments, and storage conditions. It also aimed to identify gaps between current and desired practices and recommend improvements, including technological interventions and best practices.</v>
          </cell>
        </row>
        <row r="63">
          <cell r="E63" t="str">
            <v>PP00186</v>
          </cell>
          <cell r="F63" t="str">
            <v>Income Based</v>
          </cell>
          <cell r="G63" t="str">
            <v>Nomination</v>
          </cell>
          <cell r="H63">
            <v>1641701.13</v>
          </cell>
          <cell r="I63" t="str">
            <v>Ongoing</v>
          </cell>
          <cell r="J63" t="str">
            <v>U.P. Projects Corporation Ltd.</v>
          </cell>
          <cell r="K63" t="str">
            <v xml:space="preserve">Infrastructure </v>
          </cell>
          <cell r="L63">
            <v>45071</v>
          </cell>
          <cell r="M63">
            <v>45565</v>
          </cell>
          <cell r="N63">
            <v>45900</v>
          </cell>
          <cell r="O63" t="str">
            <v>There is no particular end date of the project from the client side. The project will go on till the completion of the work.</v>
          </cell>
          <cell r="P63" t="str">
            <v>Conducting third party inspection of Judge Guest House Ghat, Shastri Ghat and Chandrawati Ghat in Varanasi. The main aim is to conduct inspections throughout the entire construction process of the project, which will be spanning over a duration of approximately 9 months. Following each inspection, a comprehensive report will be provided.</v>
          </cell>
        </row>
        <row r="64">
          <cell r="E64" t="str">
            <v>PP00187</v>
          </cell>
          <cell r="F64" t="str">
            <v>Income Based</v>
          </cell>
          <cell r="G64" t="str">
            <v>Nomination</v>
          </cell>
          <cell r="H64">
            <v>6090327.5300000003</v>
          </cell>
          <cell r="I64" t="str">
            <v>Fully Closed</v>
          </cell>
          <cell r="J64" t="str">
            <v>Bihar Institute of Public Administration and Rural Development, Govt. of Bihar</v>
          </cell>
          <cell r="K64" t="str">
            <v xml:space="preserve">Infrastructure </v>
          </cell>
          <cell r="L64">
            <v>44991</v>
          </cell>
          <cell r="M64">
            <v>45657</v>
          </cell>
          <cell r="P64" t="str">
            <v xml:space="preserve">Conducting Third Party Inspections (TPI) at Walmi campus, Patna and BIPARD campus, Gaya. The TPI would be in 2 phases for civil constructions &amp; electrical/ electronic works. </v>
          </cell>
        </row>
        <row r="65">
          <cell r="E65" t="str">
            <v>PP00188</v>
          </cell>
          <cell r="F65" t="str">
            <v>Income Based</v>
          </cell>
          <cell r="G65" t="str">
            <v>Nomination</v>
          </cell>
          <cell r="H65">
            <v>7450240</v>
          </cell>
          <cell r="I65" t="str">
            <v>Fully Closed</v>
          </cell>
          <cell r="J65" t="str">
            <v>Samagra Shiksha, Department of Education, AP</v>
          </cell>
          <cell r="K65" t="str">
            <v>Education</v>
          </cell>
          <cell r="L65">
            <v>45120</v>
          </cell>
          <cell r="M65" t="str">
            <v>13-11-2023</v>
          </cell>
          <cell r="P65" t="str">
            <v>Project was discarded due to some change of plan at clients end</v>
          </cell>
        </row>
        <row r="66">
          <cell r="E66" t="str">
            <v>PP00189</v>
          </cell>
          <cell r="F66" t="str">
            <v>Income Based</v>
          </cell>
          <cell r="G66" t="str">
            <v>Nomination</v>
          </cell>
          <cell r="I66" t="str">
            <v>Fully Closed</v>
          </cell>
          <cell r="J66" t="str">
            <v>MHA</v>
          </cell>
        </row>
        <row r="67">
          <cell r="E67" t="str">
            <v>PP00191</v>
          </cell>
          <cell r="F67" t="str">
            <v>Income Based</v>
          </cell>
          <cell r="G67" t="str">
            <v>Nomination</v>
          </cell>
          <cell r="H67">
            <v>11062800</v>
          </cell>
          <cell r="I67" t="str">
            <v>Fully Closed</v>
          </cell>
          <cell r="J67" t="str">
            <v>Samagra Shiksha, Department of Education, AP</v>
          </cell>
          <cell r="K67" t="str">
            <v>Education</v>
          </cell>
          <cell r="L67">
            <v>45135</v>
          </cell>
          <cell r="M67">
            <v>45227</v>
          </cell>
          <cell r="P67" t="str">
            <v>Project was discarded due to some change of plan at clients end</v>
          </cell>
        </row>
        <row r="68">
          <cell r="E68" t="str">
            <v>PP00192</v>
          </cell>
          <cell r="F68" t="str">
            <v>Income Based</v>
          </cell>
          <cell r="G68" t="str">
            <v>Nomination</v>
          </cell>
          <cell r="H68">
            <v>1690879</v>
          </cell>
          <cell r="I68" t="str">
            <v>Fully Closed</v>
          </cell>
          <cell r="J68" t="str">
            <v>DPIIT</v>
          </cell>
          <cell r="K68" t="str">
            <v>IEM</v>
          </cell>
          <cell r="L68">
            <v>45140</v>
          </cell>
          <cell r="M68">
            <v>45299</v>
          </cell>
          <cell r="P68" t="str">
            <v>DPIIT requires an in-depth check on services provided, in order to assess the effectiveness of the digital initiative of the organization and complaints against particular functionalities therein, ease of doing business, and the overall importance of the said certification.</v>
          </cell>
        </row>
        <row r="69">
          <cell r="E69" t="str">
            <v>PP00193</v>
          </cell>
          <cell r="F69" t="str">
            <v>Income Based</v>
          </cell>
          <cell r="G69" t="str">
            <v>Nomination</v>
          </cell>
          <cell r="H69">
            <v>255333</v>
          </cell>
          <cell r="I69" t="str">
            <v>Completed</v>
          </cell>
          <cell r="J69" t="str">
            <v>NDMC</v>
          </cell>
          <cell r="K69" t="str">
            <v>Education</v>
          </cell>
          <cell r="L69">
            <v>45138</v>
          </cell>
          <cell r="M69">
            <v>45158</v>
          </cell>
          <cell r="P69" t="str">
            <v>The Quality Council of India (QCI) has proposed a quality assurance process for furniture items procured by NDMC for Atal Adarsh Vidyalaya (AAV) and Navyug Schools. The project aims to ensure that 14 categories of furniture, including desks, chairs, tables, and cabinets, meet the specified technical standards.
Key Highlights:
Methodology:
Documentation Review
On-site physical inspection by an experienced assessor
Lab testing in NABL-accredited laboratories
Final reporting with quality assessment results
Timeline &amp; Deliverables:
The project will be completed in 15 working days
A detailed quality report will be submitted</v>
          </cell>
        </row>
        <row r="70">
          <cell r="E70" t="str">
            <v>PP00194</v>
          </cell>
          <cell r="F70" t="str">
            <v>Income Based</v>
          </cell>
          <cell r="G70" t="str">
            <v>Nomination</v>
          </cell>
          <cell r="H70">
            <v>63205318</v>
          </cell>
          <cell r="I70" t="str">
            <v>Fully Closed</v>
          </cell>
          <cell r="J70" t="str">
            <v>FSSAI</v>
          </cell>
          <cell r="K70" t="str">
            <v>Food</v>
          </cell>
          <cell r="L70">
            <v>45515</v>
          </cell>
          <cell r="M70">
            <v>45379</v>
          </cell>
          <cell r="P70" t="str">
            <v>Conduct a robust and independent market survey of the overall quality and safety landscape of milk and related 7 milk products (8572 samples) in India across 640 district/cities in India from organized and unorganized sectors.</v>
          </cell>
        </row>
        <row r="71">
          <cell r="E71" t="str">
            <v>PP00195</v>
          </cell>
          <cell r="F71" t="str">
            <v>Income Based</v>
          </cell>
          <cell r="G71" t="str">
            <v>Nomination</v>
          </cell>
          <cell r="H71">
            <v>605409</v>
          </cell>
          <cell r="I71" t="str">
            <v>Fully Closed</v>
          </cell>
          <cell r="J71" t="str">
            <v>U.P. State Construction And Infrastructure Development Corporation Limited</v>
          </cell>
          <cell r="K71" t="str">
            <v>Infrastructure</v>
          </cell>
          <cell r="L71">
            <v>45160</v>
          </cell>
          <cell r="M71">
            <v>45192</v>
          </cell>
          <cell r="P71" t="str">
            <v>QCI has been contracted by the U.P. State and Infrastructure Development Corporation Ltd. to perform third-party inspection for the construction and renovation work of Tulsi Smarak Bhawan Ayodhya Shodh Sansthan in Ayodhya district. The objective was to conduct a comprehensive inspection of the construction works undertaken. This includes non-destructive testing, visual examination, verification of Bill of Quantities (BOQ) and drawings in conjunction with the site, as well as verification of Measurement Books (MBs) and Running Account (RA) bills.</v>
          </cell>
        </row>
        <row r="72">
          <cell r="E72" t="str">
            <v>PP00196</v>
          </cell>
          <cell r="F72" t="str">
            <v>Income Based</v>
          </cell>
          <cell r="G72" t="str">
            <v>Nomination</v>
          </cell>
          <cell r="H72">
            <v>44106366.299999997</v>
          </cell>
          <cell r="I72" t="str">
            <v>Ongoing</v>
          </cell>
          <cell r="J72" t="str">
            <v>U.P. Projects Corporation Ltd.</v>
          </cell>
          <cell r="K72" t="str">
            <v xml:space="preserve">Infrastructure </v>
          </cell>
          <cell r="L72">
            <v>45238</v>
          </cell>
          <cell r="M72">
            <v>46022</v>
          </cell>
          <cell r="N72" t="str">
            <v>-</v>
          </cell>
          <cell r="P72" t="str">
            <v>QCI has been entrusted by the Uttar Pradesh Projects Corporation Limited to perform third-party inspection of construction works executed in the district of Chitrakoot, Meerut, Agra, Hathras, Firozabad, Mainpuri, Aligarh, Etah, Kasganj, Azamgarh, Mau, Pilibhit, Bareilly Mirzapur, Sonbhadra, Ghaziabad, Bhadohi, Varanasi, Prayagraj, Ayodhya, Amethi, Sultanpur, Raebareilly, Sitapur, Lakhimpur, Barabanki, Unnao &amp; Lucknow. The objective is to conduct a comprehensive inspection of the construction works undertaken by UPPCL. This includes non-destructive testing, visual examination, verification of Bill of Quantities (BOQ) and drawings in conjunction with the site, as well as verification of Measurement Books (MBs) and Running Account (RA) bills.</v>
          </cell>
        </row>
        <row r="73">
          <cell r="E73" t="str">
            <v>PP00197</v>
          </cell>
          <cell r="F73" t="str">
            <v>Income Based</v>
          </cell>
          <cell r="G73" t="str">
            <v>Nomination</v>
          </cell>
          <cell r="H73">
            <v>7500000</v>
          </cell>
          <cell r="I73" t="str">
            <v>Completed</v>
          </cell>
          <cell r="J73" t="str">
            <v xml:space="preserve">Lanco Amarkantak </v>
          </cell>
          <cell r="K73" t="str">
            <v>Coal</v>
          </cell>
          <cell r="L73">
            <v>45146</v>
          </cell>
          <cell r="M73">
            <v>45626</v>
          </cell>
          <cell r="P73" t="str">
            <v xml:space="preserve">Lanco Amarkantak Power Limited has awarded work to Quality Council of India for carrying out sampling and analysis of indigenous  and import coal at their unloading end. </v>
          </cell>
        </row>
        <row r="74">
          <cell r="E74" t="str">
            <v>PP00198</v>
          </cell>
          <cell r="F74" t="str">
            <v>Income Based</v>
          </cell>
          <cell r="G74" t="str">
            <v>Tender</v>
          </cell>
          <cell r="H74">
            <v>2627117.7999999998</v>
          </cell>
          <cell r="I74" t="str">
            <v>Ongoing</v>
          </cell>
          <cell r="J74" t="str">
            <v>Govt. of Himachal Pradesh</v>
          </cell>
          <cell r="K74" t="str">
            <v xml:space="preserve">Infrastructure </v>
          </cell>
          <cell r="L74">
            <v>45269</v>
          </cell>
          <cell r="M74">
            <v>46002</v>
          </cell>
          <cell r="N74">
            <v>46203</v>
          </cell>
          <cell r="P74" t="str">
            <v>Quality Council of India bagged the tender from central university through Central Public Procurement Portal for TPI of Construction of South Campus of Central University of Himachal pradesh. TPI of the following has to be completed under the project:
1. Administrative Blocks (1 + 1 Nos.), Lecture Halls (1 + 1 Nos.) Academic Blocks (4 + 5 Nos.)
2. Hostel Blocks (6 + 5 Nos.: Boys/ Girls/ International)
3. Multi-Purpose Hall (1 + 1 Nos.), Guest House (1 + 1 Nos.)
4. Shopping Arcades, Amenities, Health Centers (l + 2 Nos.)
5. Staff Residences (59 + 59 Nos. type - III to VI &amp; VC Residence)
6. Service Blocks (1 + 1 Nos.) including External Development Work, Internal and External
7. Civil, Electrical &amp; Mechanical Services on EPC (Mode - I) Basis</v>
          </cell>
        </row>
        <row r="75">
          <cell r="E75" t="str">
            <v>PP00199</v>
          </cell>
          <cell r="F75" t="str">
            <v>Income Based</v>
          </cell>
          <cell r="G75" t="str">
            <v>Nomination</v>
          </cell>
          <cell r="H75">
            <v>10980480</v>
          </cell>
          <cell r="I75" t="str">
            <v>Completed</v>
          </cell>
          <cell r="J75" t="str">
            <v>Ministry of Consumer Affairs, Food and Public Distribution</v>
          </cell>
          <cell r="K75" t="str">
            <v>Surveillance</v>
          </cell>
          <cell r="L75">
            <v>45145</v>
          </cell>
          <cell r="M75">
            <v>45388</v>
          </cell>
          <cell r="N75" t="str">
            <v>Work order extension awaited</v>
          </cell>
          <cell r="O75" t="str">
            <v>(1) The project was further extended for 6 months till 6th October 2024 due to multiple delays in internal approvals within CWC. The scope of work was updated to extend timeline. 
(2) Currently, due to delays in CCTV installation by the System Integrator (RailTel) and the need for additional costs from CWC to engage the QCI team, QCI has been temporarily disengaged from the project as of October 9, 2024. 
(3) QCI services are expected to resume for the final milestone (M5) tentatively in February-March 2025, depending upon the completion of installation at the warehouses by M/s RailTel  (SI).</v>
          </cell>
          <cell r="P75" t="str">
            <v>PMC/ PMU appointed to improve the security and transparency in CWC Warehouses through implementation of a modern Video Surveillance System (CCTV/ IoT Sensors) for ~231 foodgrain warehouses PAN India.</v>
          </cell>
        </row>
        <row r="76">
          <cell r="E76" t="str">
            <v>PP00200</v>
          </cell>
          <cell r="F76" t="str">
            <v>Income Based</v>
          </cell>
          <cell r="G76" t="str">
            <v>Tender</v>
          </cell>
          <cell r="H76">
            <v>7109047.3700000001</v>
          </cell>
          <cell r="I76" t="str">
            <v>Completed</v>
          </cell>
          <cell r="J76" t="str">
            <v>NBCC</v>
          </cell>
          <cell r="K76" t="str">
            <v xml:space="preserve">Infrastructure </v>
          </cell>
          <cell r="L76">
            <v>45226</v>
          </cell>
          <cell r="M76">
            <v>45716</v>
          </cell>
          <cell r="O76" t="str">
            <v>Final payment pending from the client</v>
          </cell>
          <cell r="P76" t="str">
            <v>Quality assurances for Civil structures, materials and workmanship of civil, plumbing, electrical, mechanical, MEP, external development and all other allied works required to complete the project at appropriate stages of construction. Responsibility includes highlighting the problem area, if any, and suggesting step /solution for the same to achieve the overall target of quality assurance. Testing (field and laboratory) of materials at site laboratory or outside laboratory will be carried out by QCI as per recommendations of QCI or as per the frequency defined in CPWD, BIS codes &amp; approved by NBCC.</v>
          </cell>
        </row>
        <row r="77">
          <cell r="E77" t="str">
            <v>PP00201</v>
          </cell>
          <cell r="F77" t="str">
            <v>Income Based</v>
          </cell>
          <cell r="G77" t="str">
            <v>Nomination</v>
          </cell>
          <cell r="H77">
            <v>485595</v>
          </cell>
          <cell r="I77" t="str">
            <v>Fully Closed</v>
          </cell>
          <cell r="J77" t="str">
            <v>U.P. State Construction And Infrastructure Development Corporation Limited</v>
          </cell>
          <cell r="K77" t="str">
            <v>Infrastructure</v>
          </cell>
          <cell r="L77">
            <v>44995</v>
          </cell>
          <cell r="M77">
            <v>45230</v>
          </cell>
          <cell r="P77" t="str">
            <v>QCI has been contracted by the U.P. State and Infrastructure Development Corporation Ltd. to perform third-party inspection for the construction work of Baharat Ratna Shri Atal Bihari Bajpai Sanskritik Sankul kendra at Bateshwar, Bah, Agra (U.P). The objective was to conduct a comprehensive inspection of the construction works undertaken. This includes non-destructive testing, visual examination, verification of Bill of Quantities (BOQ) and drawings in conjunction with the site, as well as verification of Measurement Books (MBs) and Running Account (RA) bills.</v>
          </cell>
        </row>
        <row r="78">
          <cell r="E78" t="str">
            <v>PP00202</v>
          </cell>
          <cell r="F78" t="str">
            <v>Income Based</v>
          </cell>
          <cell r="G78" t="str">
            <v>Nomination</v>
          </cell>
          <cell r="H78">
            <v>1400000</v>
          </cell>
          <cell r="I78" t="str">
            <v>Fully Closed</v>
          </cell>
          <cell r="J78" t="str">
            <v>Project Implementation Unit (PIU), PWD Thuligad Tanakpur</v>
          </cell>
          <cell r="K78" t="str">
            <v>Infrastructure</v>
          </cell>
          <cell r="L78">
            <v>45182</v>
          </cell>
          <cell r="M78">
            <v>45567</v>
          </cell>
          <cell r="P78" t="str">
            <v xml:space="preserve">QCI was entrusted to conduct TPI and quality testing of Tanakpur Jauljibi 2 lane motor road from chainage 30.600 KM to 55.000 KM constructed by P.I.U. Thuligarh, P.W.D., Tanakpur, Uttarakhand. The TPI included visual inspection of roads along with relevant quality tests to evaluate the quality of the roads. </v>
          </cell>
        </row>
        <row r="79">
          <cell r="E79" t="str">
            <v>PP00203</v>
          </cell>
          <cell r="F79" t="str">
            <v>Income Based</v>
          </cell>
          <cell r="G79" t="str">
            <v>Tender</v>
          </cell>
          <cell r="H79">
            <v>18166400</v>
          </cell>
          <cell r="I79" t="str">
            <v>Ongoing</v>
          </cell>
          <cell r="J79" t="str">
            <v>Uttar pradesh</v>
          </cell>
          <cell r="K79" t="str">
            <v>Infrastructure</v>
          </cell>
          <cell r="L79">
            <v>45187</v>
          </cell>
          <cell r="M79">
            <v>45918</v>
          </cell>
          <cell r="N79">
            <v>46098</v>
          </cell>
          <cell r="P79" t="str">
            <v xml:space="preserve">QCI has been entrusted by SSCL to conduct Third Party Inspections (TPI) of the works implemented under Saharanpur Smart city Limited with following scope of work:
1. Third Party inspection of buildings ranging from pumping stations, parking lots etc.
2. Third party inspection of roads and RCC pavements.
3. Third party inspection of bridges.
4. Third party of the miscellaneous developments works in the city of Saharanpur.
</v>
          </cell>
        </row>
        <row r="80">
          <cell r="E80" t="str">
            <v>PP00204</v>
          </cell>
          <cell r="F80" t="str">
            <v>Income Based</v>
          </cell>
          <cell r="G80" t="str">
            <v>Nomination</v>
          </cell>
          <cell r="H80">
            <v>28000000</v>
          </cell>
          <cell r="I80" t="str">
            <v>Fully Closed</v>
          </cell>
          <cell r="J80" t="str">
            <v>RRVUNL</v>
          </cell>
          <cell r="K80" t="str">
            <v>Coal</v>
          </cell>
          <cell r="L80">
            <v>45241</v>
          </cell>
          <cell r="M80">
            <v>45568</v>
          </cell>
          <cell r="P80" t="str">
            <v xml:space="preserve">RRVUNL has awarded work to Quality Council of India for carrying out sampling and analysis of indigenous coal at their plant end. </v>
          </cell>
        </row>
        <row r="81">
          <cell r="E81" t="str">
            <v>PP00205</v>
          </cell>
          <cell r="F81" t="str">
            <v>Income Based</v>
          </cell>
          <cell r="G81" t="str">
            <v>Nomination</v>
          </cell>
          <cell r="H81">
            <v>1500000</v>
          </cell>
          <cell r="I81" t="str">
            <v>Fully Closed</v>
          </cell>
          <cell r="J81" t="str">
            <v>PHED, Govt. of Haryana</v>
          </cell>
          <cell r="K81" t="str">
            <v>Water</v>
          </cell>
          <cell r="L81">
            <v>44968</v>
          </cell>
          <cell r="M81">
            <v>45443</v>
          </cell>
          <cell r="P81" t="str">
            <v>QCI has been contracted for setting up Project Management Unit (PMU) by PHED, Haryana on a chargeable basis to support activities under JJM for a tenure of 12 months from December 2023 to December 2024. The resource person shall be assigned tasks related to vetting of DPR and document assessment for PHED, Haryana including preparation of DPR, preparation of drawings, cost estimation, rate analysis, design specifications, HT&amp;LT panels and motors, etc. However, the resource has left QCI in May 2024 and until a new resource is provided to the client, this project is considered completed.</v>
          </cell>
        </row>
        <row r="82">
          <cell r="E82" t="str">
            <v>PP00206</v>
          </cell>
          <cell r="F82" t="str">
            <v>Income Based</v>
          </cell>
          <cell r="G82" t="str">
            <v>Nomination</v>
          </cell>
          <cell r="H82">
            <v>9119469.5199999996</v>
          </cell>
          <cell r="I82" t="str">
            <v>Completed</v>
          </cell>
          <cell r="J82" t="str">
            <v>National Horticulture Board, Ministry of Agriculture &amp; Farmers Welfare, GoI</v>
          </cell>
          <cell r="K82" t="str">
            <v>Horticulture</v>
          </cell>
          <cell r="L82">
            <v>45245</v>
          </cell>
          <cell r="M82">
            <v>45504</v>
          </cell>
          <cell r="N82">
            <v>45747</v>
          </cell>
          <cell r="P82" t="str">
            <v>To align with the objectives of the schemes of National Horticulture Board (NHB), QCI has been entrusted to conduct a Pan-India Third Party Evaluation of the NHB Scheme-I &amp; II for the FY 2019-20 to 2022-23 and FY 2023-24 in 2nd phase. Assessment of schemes I &amp; II of NHB, where first scheme is for development of Commercial Horticulture through Production and Post-Harvest Management of Horticulture Crops, and second scheme is for subsidy against Capital Investment Scheme for Construction / Expansion / Modernization of Cold Storages and Storages for Horticulture Products.</v>
          </cell>
        </row>
        <row r="83">
          <cell r="E83" t="str">
            <v>PP00207</v>
          </cell>
          <cell r="F83" t="str">
            <v>Income Based</v>
          </cell>
          <cell r="G83" t="str">
            <v>Tender</v>
          </cell>
          <cell r="H83">
            <v>3722213.67</v>
          </cell>
          <cell r="I83" t="str">
            <v>Ongoing</v>
          </cell>
          <cell r="J83" t="str">
            <v>Administration of Lakshadweep</v>
          </cell>
          <cell r="K83" t="str">
            <v>Infrastructure, Water Supply</v>
          </cell>
          <cell r="L83">
            <v>45275</v>
          </cell>
          <cell r="M83">
            <v>46006</v>
          </cell>
          <cell r="P83" t="str">
            <v xml:space="preserve">Quality Council of India was envisioned for GoI's flagship in Jal Jeevan Mission in the UT of Lakshadweep to provide Third Party Inspection of schemes. QCI was given the responsibility of checking the quality of work executed by the agencies in Lakshadweep, quality of material used for construction and quality of machinery installed in each of scheme across all the islands of Lakshadweep where JJM works are in progress
In addition, carrying out inspection of all engineering works relating to civil, mechanical and electrical components executed under the schemes of JJM and providing reports containing the regular updates and progress of the overall schemes on inspection basis is provided to the Superintending Engineer, Lakshadweep Public
</v>
          </cell>
        </row>
        <row r="84">
          <cell r="E84" t="str">
            <v>PP00208</v>
          </cell>
          <cell r="F84" t="str">
            <v>Income Based</v>
          </cell>
          <cell r="G84" t="str">
            <v>Nomination</v>
          </cell>
          <cell r="H84">
            <v>9718800</v>
          </cell>
          <cell r="I84" t="str">
            <v>Fully Closed</v>
          </cell>
          <cell r="J84" t="str">
            <v>MoRTH</v>
          </cell>
          <cell r="K84" t="str">
            <v xml:space="preserve">Infrastructure </v>
          </cell>
          <cell r="L84">
            <v>45246</v>
          </cell>
          <cell r="M84">
            <v>45535</v>
          </cell>
          <cell r="N84">
            <v>45443</v>
          </cell>
          <cell r="O84" t="str">
            <v xml:space="preserve">Received Final payment and report has been submitted </v>
          </cell>
          <cell r="P84" t="str">
            <v>For the sixth consecutive award cycle, QCI has been entrusted with the responsibility of conducting end to end process of National Highways Excellence Awards.</v>
          </cell>
        </row>
        <row r="85">
          <cell r="E85" t="str">
            <v>PP00209</v>
          </cell>
          <cell r="F85" t="str">
            <v>Income Based</v>
          </cell>
          <cell r="G85" t="str">
            <v>Nomination</v>
          </cell>
          <cell r="H85">
            <v>3114608</v>
          </cell>
          <cell r="I85" t="str">
            <v>Fully Closed</v>
          </cell>
          <cell r="J85" t="str">
            <v>Construction &amp; Design Services U.P. Jal Nigam</v>
          </cell>
          <cell r="K85" t="str">
            <v xml:space="preserve">Infrastructure </v>
          </cell>
          <cell r="L85">
            <v>45248</v>
          </cell>
          <cell r="M85">
            <v>45808</v>
          </cell>
          <cell r="P85" t="str">
            <v xml:space="preserve">Conducting third party inspection of College of Agriculture and Technology at B.U.A.T Banda. The objective is to conduct a one-time structural stability analysis of the existing structures, visual inspections and perform a non-destructive test throughout the construction phase of the project in order to assess the quality of the existing and ongoing works. A total of 9 site visits shall be made by QCI during the construction period. </v>
          </cell>
        </row>
        <row r="86">
          <cell r="E86" t="str">
            <v>PP00210</v>
          </cell>
          <cell r="F86" t="str">
            <v>Income Based</v>
          </cell>
          <cell r="G86" t="str">
            <v>Nomination</v>
          </cell>
          <cell r="H86">
            <v>57456000</v>
          </cell>
          <cell r="I86" t="str">
            <v>Fully Closed</v>
          </cell>
          <cell r="J86" t="str">
            <v>Ministry of Housing and Urban Affairs (MoHUA)</v>
          </cell>
          <cell r="K86" t="str">
            <v>Digital Infrastructure &amp; Governance</v>
          </cell>
          <cell r="L86">
            <v>45250</v>
          </cell>
          <cell r="M86">
            <v>45473</v>
          </cell>
          <cell r="N86">
            <v>45747</v>
          </cell>
          <cell r="P86" t="str">
            <v>To advance the goals of the Smart Cities framework and facilitate the effective functioning of Integrated Command and Control Centres (ICCCs), it is crucial for cities to adopt technology integration and implement digital resources. An independent assessment is therefore being planned to be conducted by engaging QCI in line with the 10 pillars outlined in the ICCC Maturity Assessment Framework (IMAF 2.0) to evaluate the efforts being made by cities to improve the efficiency and management of their ICCC operations and Impact of Use cases of ICCC in 100 Smart Cities</v>
          </cell>
        </row>
        <row r="87">
          <cell r="E87" t="str">
            <v>PP00211</v>
          </cell>
          <cell r="F87" t="str">
            <v>Income Based</v>
          </cell>
          <cell r="G87" t="str">
            <v>Nomination</v>
          </cell>
          <cell r="H87">
            <v>3677260</v>
          </cell>
          <cell r="I87" t="str">
            <v>Completed</v>
          </cell>
          <cell r="J87" t="str">
            <v>Department of Education-AP</v>
          </cell>
          <cell r="K87" t="str">
            <v>Education</v>
          </cell>
          <cell r="L87">
            <v>45260</v>
          </cell>
          <cell r="M87">
            <v>45292</v>
          </cell>
          <cell r="P87" t="str">
            <v>Recognizing the critical importance of reliable educational data, the Government of Andhra Pradesh (GoAP) has highlighted the necessity for a comprehensive study to validate and ensure the accuracy of educational statistics in Nandyal district.</v>
          </cell>
        </row>
        <row r="88">
          <cell r="E88" t="str">
            <v>PP00212</v>
          </cell>
          <cell r="F88" t="str">
            <v>Income Based</v>
          </cell>
          <cell r="G88" t="str">
            <v>Nomination</v>
          </cell>
          <cell r="H88">
            <v>5824000</v>
          </cell>
          <cell r="I88" t="str">
            <v>Completed</v>
          </cell>
          <cell r="J88" t="str">
            <v>Bureau of Indian Standards</v>
          </cell>
          <cell r="K88" t="str">
            <v>Surveillance</v>
          </cell>
          <cell r="L88">
            <v>45293</v>
          </cell>
          <cell r="M88">
            <v>45298</v>
          </cell>
          <cell r="N88">
            <v>45807</v>
          </cell>
          <cell r="O88" t="str">
            <v>Payments to be received</v>
          </cell>
          <cell r="P88" t="str">
            <v>To establish a robust and comprehensive  surveillance system along with CMS designed to address existing blind spot and limitations. This scalable system will be progressively implemented across all BIS laboratories in a five-phase approach , addressing facilities that currently lack any surveillance infrastructure.</v>
          </cell>
        </row>
        <row r="89">
          <cell r="E89" t="str">
            <v>PP00213</v>
          </cell>
          <cell r="F89" t="str">
            <v>Income Based</v>
          </cell>
          <cell r="G89" t="str">
            <v>Tender</v>
          </cell>
          <cell r="H89">
            <v>7431200</v>
          </cell>
          <cell r="I89" t="str">
            <v>Fully Closed</v>
          </cell>
          <cell r="J89" t="str">
            <v>Ministry of Fisheries, Animal Husbandry and Dairying, GoI</v>
          </cell>
          <cell r="K89" t="str">
            <v>Animal Husbandry &amp; Dairying</v>
          </cell>
          <cell r="L89">
            <v>45323</v>
          </cell>
          <cell r="M89">
            <v>45382</v>
          </cell>
          <cell r="N89" t="str">
            <v>NA</v>
          </cell>
          <cell r="P89" t="str">
            <v>The Animal Husbandry Infrastructure Development Fund (AHIDF) is a distinctive and noteworthy initiative spearheaded by the Department of Animal Husbandry &amp; Dairying (DAHD). On 24th June 2020, during the crisis of COVID-19, the cabinet approved the establishment of AHIDF under the Prime Minister's Atma Nirbhar Bharat Abhiyan with a stimulus package of Rs. 15,000/- crore. QCI was entrusted with the evaluation of the scheme.</v>
          </cell>
        </row>
        <row r="90">
          <cell r="E90" t="str">
            <v>PP00214</v>
          </cell>
          <cell r="F90" t="str">
            <v>Income Based</v>
          </cell>
          <cell r="G90" t="str">
            <v>Nomination</v>
          </cell>
          <cell r="H90">
            <v>17119200</v>
          </cell>
          <cell r="I90" t="str">
            <v>Fully Closed</v>
          </cell>
          <cell r="J90" t="str">
            <v>Central Bureau of Communication - Ministry of Information &amp; Broadcasting</v>
          </cell>
          <cell r="K90" t="str">
            <v>Centrally sponsered social sector schemes</v>
          </cell>
          <cell r="L90">
            <v>45284</v>
          </cell>
          <cell r="M90">
            <v>45347</v>
          </cell>
          <cell r="N90">
            <v>45626</v>
          </cell>
          <cell r="P90" t="str">
            <v>Assessment of IEC Vans deployed under Viksit Bharat Sankalp Yatra to ensure compliance with Ministry Standards</v>
          </cell>
        </row>
        <row r="91">
          <cell r="E91" t="str">
            <v>PP00215</v>
          </cell>
          <cell r="F91" t="str">
            <v>Income Based</v>
          </cell>
          <cell r="G91" t="str">
            <v>Nomination</v>
          </cell>
          <cell r="H91">
            <v>2608125</v>
          </cell>
          <cell r="I91" t="str">
            <v>Fully Closed</v>
          </cell>
          <cell r="J91" t="str">
            <v>Ministry of Agriculture &amp; Farmers Welfare</v>
          </cell>
          <cell r="K91" t="str">
            <v>Centrally sponsered social sector schemes</v>
          </cell>
          <cell r="L91">
            <v>45275</v>
          </cell>
          <cell r="M91">
            <v>45391</v>
          </cell>
          <cell r="P91" t="str">
            <v>PMU's goal was to enhance coordination and extend the reach of VBSY to saturate the welfare schemes across India.</v>
          </cell>
        </row>
        <row r="92">
          <cell r="E92" t="str">
            <v>PP00216</v>
          </cell>
          <cell r="F92" t="str">
            <v>Income Based</v>
          </cell>
          <cell r="G92" t="str">
            <v>Nomination</v>
          </cell>
          <cell r="H92" t="str">
            <v>₹ 10,48,63,240</v>
          </cell>
          <cell r="I92" t="str">
            <v>Fully Closed</v>
          </cell>
          <cell r="J92" t="str">
            <v>-</v>
          </cell>
          <cell r="K92" t="str">
            <v>Governance</v>
          </cell>
          <cell r="L92" t="str">
            <v>18-12-2023</v>
          </cell>
          <cell r="M92">
            <v>45387</v>
          </cell>
          <cell r="N92" t="str">
            <v>-</v>
          </cell>
          <cell r="O92" t="str">
            <v>-</v>
          </cell>
          <cell r="P92" t="str">
            <v>Govt. of Maharashtra invited QCI to Engage Kaizen Institute SAIN LLP (India) for Capacity Building and Implementing Process Improvements at different offices of Govt. of Maharashtra. The scope of work will include the following:
• Process Improvements and Continual Improvement Capabilities (Kaizen techniques) for Organizational Capacity Building. 
• Streamline process for managing flow of Dak at CMO, Dy. CMO &amp; CRU (Central Registry Unit).
• Encourage use of e-office in home dept., Gen Admin dept., CMO &amp; Dy. CMO areas.
• Removal/ clearing of backlog of old files.</v>
          </cell>
        </row>
        <row r="93">
          <cell r="E93" t="str">
            <v>PP00217</v>
          </cell>
          <cell r="F93" t="str">
            <v>Income Based</v>
          </cell>
          <cell r="G93" t="str">
            <v>Nomination</v>
          </cell>
          <cell r="H93">
            <v>11032000</v>
          </cell>
          <cell r="I93" t="str">
            <v>Fully Closed</v>
          </cell>
          <cell r="J93" t="str">
            <v>Ministry of Consumer Affairs, Food and public distribution</v>
          </cell>
          <cell r="K93" t="str">
            <v>Food Security, Supply Chain</v>
          </cell>
          <cell r="L93">
            <v>45351</v>
          </cell>
          <cell r="M93">
            <v>45443</v>
          </cell>
          <cell r="N93">
            <v>45550</v>
          </cell>
          <cell r="O93" t="str">
            <v>Client sought extension to allow entities to share data for analysis.</v>
          </cell>
          <cell r="P93" t="str">
            <v>GoI has introduced affordable staple products such as Atta, Rice, and Dal under the Bharat Brand to moderate the prices of important products and promote the welfare of consumers. QCI shall undertake a third-party assessment of the supply chain and the products to verify the product compliace norms, their weights, and customer perception.</v>
          </cell>
        </row>
        <row r="94">
          <cell r="E94" t="str">
            <v>PP00218</v>
          </cell>
          <cell r="F94" t="str">
            <v>Income Based</v>
          </cell>
          <cell r="G94" t="str">
            <v>Nomination</v>
          </cell>
          <cell r="H94">
            <v>8326080</v>
          </cell>
          <cell r="I94" t="str">
            <v>Fully Closed</v>
          </cell>
          <cell r="J94" t="str">
            <v>GSRTC</v>
          </cell>
          <cell r="K94" t="str">
            <v>Cleanliness and Sanitaion</v>
          </cell>
          <cell r="L94">
            <v>45353</v>
          </cell>
          <cell r="M94">
            <v>45565</v>
          </cell>
          <cell r="P94" t="str">
            <v>Assessment for checking the cleanliness standards at all depots &amp; buses under Gujarat State Road Trasnport Corporation(GSRTC).</v>
          </cell>
        </row>
        <row r="95">
          <cell r="E95" t="str">
            <v>PP00219</v>
          </cell>
          <cell r="F95" t="str">
            <v>Income Based</v>
          </cell>
          <cell r="G95" t="str">
            <v>Nomination</v>
          </cell>
          <cell r="H95">
            <v>2079000</v>
          </cell>
          <cell r="I95" t="str">
            <v>Ongoing</v>
          </cell>
          <cell r="J95" t="str">
            <v>TANGEDCO</v>
          </cell>
          <cell r="K95" t="str">
            <v>Coal</v>
          </cell>
          <cell r="L95">
            <v>45357</v>
          </cell>
          <cell r="M95">
            <v>45747</v>
          </cell>
          <cell r="N95">
            <v>46112</v>
          </cell>
          <cell r="P95" t="str">
            <v xml:space="preserve">TANGEDCO has awarded work for carrying out quality analysis of coal at their port end. The objective of the project is ensuring precision, efficiency, and transparency while examining the coal's quality with the aid of the NABL and NABCB. </v>
          </cell>
        </row>
        <row r="96">
          <cell r="E96" t="str">
            <v>PP00220</v>
          </cell>
          <cell r="F96" t="str">
            <v>Income Based</v>
          </cell>
          <cell r="G96" t="str">
            <v>Nomination</v>
          </cell>
          <cell r="H96">
            <v>17800000</v>
          </cell>
          <cell r="I96" t="str">
            <v>Ongoing</v>
          </cell>
          <cell r="J96" t="str">
            <v>NTPC</v>
          </cell>
          <cell r="K96" t="str">
            <v>Coal</v>
          </cell>
          <cell r="L96">
            <v>45412</v>
          </cell>
          <cell r="M96">
            <v>46532</v>
          </cell>
          <cell r="P96" t="str">
            <v>NTPC has awarded work for carrying out quality analysis of coal at their mine end</v>
          </cell>
        </row>
        <row r="97">
          <cell r="E97" t="str">
            <v>PP00221</v>
          </cell>
          <cell r="F97" t="str">
            <v>Income Based</v>
          </cell>
          <cell r="G97" t="str">
            <v>Tender</v>
          </cell>
          <cell r="H97">
            <v>10513800</v>
          </cell>
          <cell r="I97" t="str">
            <v>Ongoing</v>
          </cell>
          <cell r="J97" t="str">
            <v>NUPPL</v>
          </cell>
          <cell r="K97" t="str">
            <v>Coal</v>
          </cell>
          <cell r="L97">
            <v>45629</v>
          </cell>
          <cell r="M97">
            <v>46329</v>
          </cell>
          <cell r="P97" t="str">
            <v>NUPPL has awarded work for carrying out quality analysis of coal at their plant end</v>
          </cell>
        </row>
        <row r="98">
          <cell r="E98" t="str">
            <v>PP00222</v>
          </cell>
          <cell r="F98" t="str">
            <v>Income Based</v>
          </cell>
          <cell r="G98" t="str">
            <v>Nomination</v>
          </cell>
          <cell r="H98">
            <v>21632893</v>
          </cell>
          <cell r="I98" t="str">
            <v>Completed</v>
          </cell>
          <cell r="J98" t="str">
            <v>Department of Education-AP</v>
          </cell>
          <cell r="K98" t="str">
            <v>Education</v>
          </cell>
          <cell r="L98">
            <v>45373</v>
          </cell>
          <cell r="M98">
            <v>45495</v>
          </cell>
          <cell r="P98" t="str">
            <v>The Department of School Education onboarded QCI as a quality assurance partner to ensure that the procured products meet 100% compliance with the specified Indian Standards. This partnership is critical to guaranteeing that only quality products are delivered to the end beneficiaries, thereby maintaining trust and achieving the scheme's objectives.</v>
          </cell>
        </row>
        <row r="99">
          <cell r="E99" t="str">
            <v>PP00223</v>
          </cell>
          <cell r="F99" t="str">
            <v>Income Based</v>
          </cell>
          <cell r="G99" t="str">
            <v>Nomination</v>
          </cell>
          <cell r="H99">
            <v>7766916</v>
          </cell>
          <cell r="I99" t="str">
            <v>Fully Closed</v>
          </cell>
          <cell r="J99" t="str">
            <v>MoHUA</v>
          </cell>
          <cell r="K99" t="str">
            <v>Urban Governance and Housing</v>
          </cell>
          <cell r="L99">
            <v>45367</v>
          </cell>
          <cell r="M99">
            <v>45412</v>
          </cell>
          <cell r="N99">
            <v>45449</v>
          </cell>
          <cell r="O99" t="str">
            <v>Multiple Changes in report and later presentations</v>
          </cell>
          <cell r="P99" t="str">
            <v>To evaluate the effectiveness and impact of the Credit Linked Subsidy Scheme (CLSS) under the Pradhan Mantri Awas Yojana (Urban) in addressing the housing needs of various segments of the urban households in India by reaching out to 30,000 CLSS beneficiaries and 10,000 non-CLSS beneficiaries.</v>
          </cell>
        </row>
        <row r="100">
          <cell r="E100" t="str">
            <v>PP00224</v>
          </cell>
          <cell r="F100" t="str">
            <v>Income Based</v>
          </cell>
          <cell r="G100" t="str">
            <v>Tender</v>
          </cell>
          <cell r="H100">
            <v>19500000</v>
          </cell>
          <cell r="I100" t="str">
            <v>Ongoing</v>
          </cell>
          <cell r="J100" t="str">
            <v>MVVNL</v>
          </cell>
          <cell r="K100" t="str">
            <v>Infrastructure</v>
          </cell>
          <cell r="L100">
            <v>45404</v>
          </cell>
          <cell r="M100">
            <v>46134</v>
          </cell>
          <cell r="P100" t="str">
            <v>Third Party inspection of Electrical works carried out in 2023-24 and 2024-25 under Business Plan, System Augmentation/Strengthening work in different District, under Madhyanchal Vidyut Vitran Nigam (MVVNL) as Discom Quality Monitoring Agency (DQMA).</v>
          </cell>
        </row>
        <row r="101">
          <cell r="E101" t="str">
            <v>PP00225</v>
          </cell>
          <cell r="F101" t="str">
            <v>Income Based</v>
          </cell>
          <cell r="G101" t="str">
            <v>Nomination</v>
          </cell>
          <cell r="H101">
            <v>24062400</v>
          </cell>
          <cell r="I101" t="str">
            <v>Ongoing</v>
          </cell>
          <cell r="J101" t="str">
            <v>GSECL</v>
          </cell>
          <cell r="K101" t="str">
            <v>Coal</v>
          </cell>
          <cell r="L101">
            <v>45428</v>
          </cell>
          <cell r="M101">
            <v>45611</v>
          </cell>
          <cell r="N101">
            <v>46112</v>
          </cell>
          <cell r="P101" t="str">
            <v>GSECL has nominated Quality Council of India (QCI) for Quality analysis of coal at their plants end</v>
          </cell>
        </row>
        <row r="102">
          <cell r="E102" t="str">
            <v>PP00226</v>
          </cell>
          <cell r="F102" t="str">
            <v>Income Based</v>
          </cell>
          <cell r="G102" t="str">
            <v>Tender</v>
          </cell>
          <cell r="H102">
            <v>41500000</v>
          </cell>
          <cell r="I102" t="str">
            <v>Completed</v>
          </cell>
          <cell r="J102" t="str">
            <v>Urban Development and Urban Housind Department.</v>
          </cell>
          <cell r="K102" t="str">
            <v>Sanitation &amp; Hygine</v>
          </cell>
          <cell r="L102">
            <v>45388</v>
          </cell>
          <cell r="M102">
            <v>45753</v>
          </cell>
          <cell r="P102" t="str">
            <v xml:space="preserve">QCI is conducting sanitation assessments of 166 urban local bodies in the state of Gujarat in accordance with the MoHUA-developed Swachh Survekshan toolkit. The evaluation will consist of on-site verification, desktop evaluation, and on-call validation of various sanitation-related aspects. Assessment will be carried out in four phases. </v>
          </cell>
        </row>
        <row r="103">
          <cell r="E103" t="str">
            <v>PP00227</v>
          </cell>
          <cell r="F103" t="str">
            <v>Income Based</v>
          </cell>
          <cell r="G103" t="str">
            <v>Nomination</v>
          </cell>
          <cell r="H103">
            <v>6816300</v>
          </cell>
          <cell r="I103" t="str">
            <v>Ongoing</v>
          </cell>
          <cell r="J103" t="str">
            <v>FCI</v>
          </cell>
          <cell r="K103" t="str">
            <v xml:space="preserve">Food Security, Technology </v>
          </cell>
          <cell r="L103">
            <v>45373</v>
          </cell>
          <cell r="M103">
            <v>45657</v>
          </cell>
          <cell r="N103">
            <v>45961</v>
          </cell>
          <cell r="O103" t="str">
            <v>AMC received for extension of the timeline. Phase II development extension WO received on 23.07.2025 along with the AMC till October 2025. Along with it the pending WO for support services in KMS 2024-25 received.
 Value added: Rs 23,92,300, revised from previous 44L.</v>
          </cell>
          <cell r="P103" t="str">
            <v>In line with the resolution taken during the National Food Ministers and UTs Conference on 5th July 2023, a grading mechanism for over 44,000 grain procurement centers (PCs) was introduced. Developed by the Quality Council of India (QCI), this maturity model aims to improve transparency, efficiency, and overall quality management at the grassroots level of grain procurement operations.
To drive this reform, QCI designed and implemented an innovative ICT-based initiative named Procurement Centre Self-Assessment Platform (PCSAP), that enables procurement centers to conduct self-assessments and determine their maturity levels. QCI also undertook extensive capacity-building efforts to ensure successful implementation across states.</v>
          </cell>
        </row>
        <row r="104">
          <cell r="E104" t="str">
            <v>PP00228</v>
          </cell>
          <cell r="F104" t="str">
            <v>Income Based</v>
          </cell>
          <cell r="G104" t="str">
            <v>Nomination</v>
          </cell>
          <cell r="H104">
            <v>200000</v>
          </cell>
          <cell r="I104" t="str">
            <v>Fully Closed</v>
          </cell>
          <cell r="J104" t="str">
            <v>Varanasi Development Authority</v>
          </cell>
          <cell r="K104" t="str">
            <v>Infrastructure</v>
          </cell>
          <cell r="L104">
            <v>45296</v>
          </cell>
          <cell r="M104">
            <v>45808</v>
          </cell>
          <cell r="O104" t="str">
            <v>Work extension expected</v>
          </cell>
          <cell r="P104" t="str">
            <v xml:space="preserve">Third-party inspection service for Open GYM and Kids Play equipment’s to be installed in Govt. parks under Varanasi Development Authority. It is one of the kind project where park and open gyms inspection has been conducted. The aim of the project is to-
• Site visits for the TPQA of Civil/Mechanical component(s).
• Preparation and submission of Site inspection Reports.
• Quality Inspection of Materials installed as per contract specification.
• Review work executed on site as per TS, approved drawings and designs.
</v>
          </cell>
        </row>
        <row r="105">
          <cell r="E105" t="str">
            <v>PP00229</v>
          </cell>
          <cell r="F105" t="str">
            <v>Income Based</v>
          </cell>
          <cell r="G105" t="str">
            <v>Nomination</v>
          </cell>
          <cell r="H105">
            <v>37422000</v>
          </cell>
          <cell r="I105" t="str">
            <v>Ongoing</v>
          </cell>
          <cell r="J105" t="str">
            <v>SCCL</v>
          </cell>
          <cell r="K105" t="str">
            <v>Coal</v>
          </cell>
          <cell r="L105">
            <v>45479</v>
          </cell>
          <cell r="M105">
            <v>46532</v>
          </cell>
          <cell r="P105" t="str">
            <v xml:space="preserve">Singareni Collieries Company Limited (SCCL) has nominated Quality Council of India (QCI) for quality analysis of coal at their loading end. </v>
          </cell>
        </row>
        <row r="106">
          <cell r="E106" t="str">
            <v>PP00230</v>
          </cell>
          <cell r="F106" t="str">
            <v>Income Based</v>
          </cell>
          <cell r="G106" t="str">
            <v>Nomination</v>
          </cell>
          <cell r="H106">
            <v>1780000</v>
          </cell>
          <cell r="I106" t="str">
            <v>Ongoing</v>
          </cell>
          <cell r="J106" t="str">
            <v>SAIL CHASNALLA</v>
          </cell>
          <cell r="K106" t="str">
            <v>Coal</v>
          </cell>
          <cell r="L106">
            <v>45295</v>
          </cell>
          <cell r="M106">
            <v>45747</v>
          </cell>
          <cell r="N106">
            <v>46112</v>
          </cell>
          <cell r="P106" t="str">
            <v>Steel Authority of India Limited has awarded work to Quality Council of India for carrying out sampling and analysis of coal at their mine end.</v>
          </cell>
        </row>
        <row r="107">
          <cell r="E107" t="str">
            <v>PP00231</v>
          </cell>
          <cell r="F107" t="str">
            <v>Income Based</v>
          </cell>
          <cell r="G107" t="str">
            <v>Nomination</v>
          </cell>
          <cell r="H107">
            <v>111587584</v>
          </cell>
          <cell r="I107" t="str">
            <v>Completed</v>
          </cell>
          <cell r="J107" t="str">
            <v>Ministry of Culture</v>
          </cell>
          <cell r="K107" t="str">
            <v>Arts, Culture &amp; Heritage</v>
          </cell>
          <cell r="L107">
            <v>45398</v>
          </cell>
          <cell r="M107">
            <v>45762</v>
          </cell>
          <cell r="P107" t="str">
            <v>Following the successful completion of Phase-1- “Review of Organizations and Central Sector Schemes under Ministry of Culture”, the Ministry requested QCI to undertake a Phase-2 of the study to support them in implementation of selected recommendations from Phase 1.</v>
          </cell>
        </row>
        <row r="108">
          <cell r="E108" t="str">
            <v>PP00232</v>
          </cell>
          <cell r="F108" t="str">
            <v>Income Based</v>
          </cell>
          <cell r="G108" t="str">
            <v>Nomination</v>
          </cell>
          <cell r="H108">
            <v>22713600</v>
          </cell>
          <cell r="I108" t="str">
            <v>Completed</v>
          </cell>
          <cell r="J108" t="str">
            <v>Ministry of Culture</v>
          </cell>
          <cell r="K108" t="str">
            <v>Arts, Culture &amp; Heritage</v>
          </cell>
          <cell r="L108">
            <v>45383</v>
          </cell>
          <cell r="M108">
            <v>45747</v>
          </cell>
          <cell r="P108" t="str">
            <v xml:space="preserve">QCI has been engaged by the Ministry of Culture to onboard professionals with a specific set of skills and set up a PMU under AKAM division, Ministry of Culture. </v>
          </cell>
        </row>
        <row r="109">
          <cell r="E109" t="str">
            <v>PP00233</v>
          </cell>
          <cell r="F109" t="str">
            <v>Income Based</v>
          </cell>
          <cell r="G109" t="str">
            <v>Nomination</v>
          </cell>
          <cell r="H109">
            <v>21134400</v>
          </cell>
          <cell r="I109" t="str">
            <v>Fully Closed</v>
          </cell>
          <cell r="J109" t="str">
            <v>Ministry of Culture</v>
          </cell>
          <cell r="K109" t="str">
            <v>Arts, Culture &amp; Heritage</v>
          </cell>
          <cell r="L109">
            <v>45434</v>
          </cell>
          <cell r="M109">
            <v>45517</v>
          </cell>
          <cell r="P109" t="str">
            <v>The Ministry of Culture through its email dated 25th September 2025 requested Quality Council of India to support in Preparation of Strategic Plans &amp; Roadmaps for A Multi-Sector Group. The Quality Council of India to carry out the exercise will identify and develop cross-cutting levers across the involved sectors into an overarching strategy and to formulate concrete roadmaps &amp; plans to bring out their convergence and common governance priorities for the group.</v>
          </cell>
        </row>
        <row r="110">
          <cell r="E110" t="str">
            <v>PP00234</v>
          </cell>
          <cell r="F110" t="str">
            <v>Income Based</v>
          </cell>
          <cell r="G110" t="str">
            <v>Nomination</v>
          </cell>
          <cell r="H110">
            <v>343616</v>
          </cell>
          <cell r="I110" t="str">
            <v>Completed</v>
          </cell>
          <cell r="J110" t="str">
            <v>Ministry of Agriculture &amp; Farmers Welfare (MoAFW)</v>
          </cell>
          <cell r="K110" t="str">
            <v>Pesticides/Insecticides &amp; Laboratory Evaluation</v>
          </cell>
          <cell r="L110">
            <v>45491</v>
          </cell>
          <cell r="M110">
            <v>45535</v>
          </cell>
          <cell r="N110">
            <v>45747</v>
          </cell>
          <cell r="P110" t="str">
            <v>Third-Party Assessment of all four divisions (Chemistry, Bioassay, Medical Toxicology, &amp; Processing &amp; Packaging) of CIL Faridabad with respect to Infrastructure available, Infrstructure required, Work discharged by CIL, suggestions to established CIL as one of the best in present global scenario, suggestions to prevent/control adulteration in Insecticides/Pesticides, etc.</v>
          </cell>
        </row>
        <row r="111">
          <cell r="E111" t="str">
            <v>PP00235</v>
          </cell>
          <cell r="F111" t="str">
            <v>Income Based</v>
          </cell>
          <cell r="G111" t="str">
            <v>Nomination</v>
          </cell>
          <cell r="H111">
            <v>277176</v>
          </cell>
          <cell r="I111" t="str">
            <v>Fully Closed</v>
          </cell>
          <cell r="J111" t="str">
            <v xml:space="preserve">Nagar Nigam, Moradabad </v>
          </cell>
          <cell r="K111" t="str">
            <v>Mechanical</v>
          </cell>
          <cell r="L111">
            <v>45471</v>
          </cell>
          <cell r="M111">
            <v>45657</v>
          </cell>
          <cell r="P111" t="str">
            <v>QCI was entrusted to conduct TPI of Truck Mounted Water Sprinkler with Anti-Smog Gun PLC Based 03nos (10,000 Liters Capacity) for Using Treated Wastewater for Daily Sprinkling on Roads, Side Patries, Divider, Footpaths in Municipal Areas Along Major Roads &amp; Walls, Trees etc.</v>
          </cell>
        </row>
        <row r="112">
          <cell r="E112" t="str">
            <v>PP00236</v>
          </cell>
          <cell r="F112" t="str">
            <v>Income Based</v>
          </cell>
          <cell r="G112" t="str">
            <v>Tender</v>
          </cell>
          <cell r="H112">
            <v>3264352</v>
          </cell>
          <cell r="I112" t="str">
            <v>Completed</v>
          </cell>
          <cell r="J112" t="str">
            <v>Ministry of Food Processing &amp; Industries (MoFPI), GoI</v>
          </cell>
          <cell r="K112" t="str">
            <v>Food Processing</v>
          </cell>
          <cell r="L112">
            <v>45389</v>
          </cell>
          <cell r="M112">
            <v>45695</v>
          </cell>
          <cell r="N112">
            <v>45991</v>
          </cell>
          <cell r="O112" t="str">
            <v>Initially due to scope extention of the project (in terms of sample size). Later on due to guidance from MOFPI to submit the report in revised format (as per Office Order 66(59)/PFC-II/2018 dated 5th May 2025.</v>
          </cell>
          <cell r="P112" t="str">
            <v>APC Scheme of MoFPI aims to encourage entrepreneurs to set up food processing units based on cluster approach with modern infrastructure. QCI has been entrusted with the evaluation of the scheme.</v>
          </cell>
        </row>
        <row r="113">
          <cell r="E113" t="str">
            <v>PP00237</v>
          </cell>
          <cell r="F113" t="str">
            <v>Income Based</v>
          </cell>
          <cell r="G113" t="str">
            <v>Nomination</v>
          </cell>
          <cell r="H113">
            <v>44500000</v>
          </cell>
          <cell r="I113" t="str">
            <v>Ongoing</v>
          </cell>
          <cell r="J113" t="str">
            <v>NLC Talibira</v>
          </cell>
          <cell r="K113" t="str">
            <v>Coal</v>
          </cell>
          <cell r="L113">
            <v>45488</v>
          </cell>
          <cell r="M113">
            <v>46531</v>
          </cell>
        </row>
        <row r="114">
          <cell r="E114" t="str">
            <v>PP00238</v>
          </cell>
          <cell r="F114" t="str">
            <v>Income Based</v>
          </cell>
          <cell r="G114" t="str">
            <v>Nomination</v>
          </cell>
          <cell r="H114">
            <v>73500000</v>
          </cell>
          <cell r="I114" t="str">
            <v>Ongoing</v>
          </cell>
          <cell r="J114" t="str">
            <v>NTPC Limited</v>
          </cell>
          <cell r="K114" t="str">
            <v>Coal</v>
          </cell>
          <cell r="L114">
            <v>45493</v>
          </cell>
          <cell r="M114">
            <v>46532</v>
          </cell>
          <cell r="P114" t="str">
            <v>NTPC has nominated Quality Council of India (QCI) for quality analysis of coal at their mine end</v>
          </cell>
        </row>
        <row r="115">
          <cell r="E115" t="str">
            <v>PP00239</v>
          </cell>
          <cell r="F115" t="str">
            <v>Income Based</v>
          </cell>
          <cell r="G115" t="str">
            <v>Nomination</v>
          </cell>
          <cell r="H115">
            <v>1702400</v>
          </cell>
          <cell r="I115" t="str">
            <v>Completed</v>
          </cell>
          <cell r="J115" t="str">
            <v>Government of Maharashtra</v>
          </cell>
          <cell r="K115" t="str">
            <v>Rural Development</v>
          </cell>
          <cell r="L115">
            <v>45497</v>
          </cell>
          <cell r="M115">
            <v>45559</v>
          </cell>
          <cell r="N115">
            <v>45688</v>
          </cell>
          <cell r="O115" t="str">
            <v>An extension work order has been received to inlcude 6 non-VSTF villages as part of the study</v>
          </cell>
          <cell r="P115" t="str">
            <v>VSTF  reached out to Quality Council of India (QCI) for conducting an Impact Assessment Study across various Gram Panchayats (GPs) in 06 Districts. This includes impact and transformation brought by VSTF in the 12 GPs in 6 districts (Amaravati, Yavatmal, Gadchiroli, Raigad, Chandarpur &amp; Aurangabad) with NGO partners and through CMRDFs. To conduct the impact assessment, QCI and VSTF together shortlisted 04 indicators to critically assess and evaluate the progress made in GPs of 06 districts.  VSTF now wants to conduct a comparison study between VSTF and Non-VSTF villages</v>
          </cell>
        </row>
        <row r="116">
          <cell r="E116" t="str">
            <v>PP00240</v>
          </cell>
          <cell r="F116" t="str">
            <v>Income Based</v>
          </cell>
          <cell r="G116" t="str">
            <v>Tender</v>
          </cell>
          <cell r="H116">
            <v>24576271.18</v>
          </cell>
          <cell r="I116" t="str">
            <v>Completed</v>
          </cell>
          <cell r="J116" t="str">
            <v>Commissionerate of Rural Development</v>
          </cell>
          <cell r="K116" t="str">
            <v xml:space="preserve">Sanitation </v>
          </cell>
          <cell r="L116">
            <v>45513</v>
          </cell>
          <cell r="M116">
            <v>45878</v>
          </cell>
          <cell r="N116">
            <v>45930</v>
          </cell>
          <cell r="P116" t="str">
            <v>The Quality Council of India (QCI) has been engaged by the Commissionerate of Rural Development, Government of Gujarat, to conduct a comprehensive state-wide assessment aligned with Swachh Survekshan Rural (SSR) parameters. As the Project Implementation Unit (PIU), QCI is responsible for end-to-end management of the assessment framework, which includes the deployment of 33 District Coordinators and 2 State-level Coordinators. The assessment covers key indicators such as household-level sanitation, solid and liquid waste management, access to community and institutional toilets, ODF-Sustainability, and citizen feedback. A special focus has been given to the evaluation of ODF Model Villages, examining their compliance with advanced sanitation and cleanliness benchmarks, community participation, and sustainable practices.</v>
          </cell>
        </row>
        <row r="117">
          <cell r="E117" t="str">
            <v>PP00241</v>
          </cell>
          <cell r="F117" t="str">
            <v>Income Based</v>
          </cell>
          <cell r="G117" t="str">
            <v>Nomination</v>
          </cell>
          <cell r="H117">
            <v>104863240</v>
          </cell>
          <cell r="I117" t="str">
            <v>Ongoing</v>
          </cell>
          <cell r="J117" t="str">
            <v>AMRUT/ MoHUA</v>
          </cell>
          <cell r="K117" t="str">
            <v xml:space="preserve">Sanitation </v>
          </cell>
          <cell r="L117">
            <v>45533</v>
          </cell>
          <cell r="M117">
            <v>45747</v>
          </cell>
          <cell r="N117">
            <v>46022</v>
          </cell>
          <cell r="O117" t="str">
            <v>Phase based project. 2nd phase pending</v>
          </cell>
          <cell r="P117" t="str">
            <v xml:space="preserve">Under the initiative "Jal is Amrit", the Quality Council of India (QCI) conducted a phase-wise assessment of Sewage Treatment Plants (STPs) across selected Urban Local Bodies. The objective was to evaluate the functionality, sustainability, and overall operational efficiency of STPs as critical infrastructure for urban wastewater management.
The assessment was carried out using a structured framework covering key parameters such as technology deployed, human resource adequacy, maintenance practices, treatment efficiency, power backup systems, and compliance with discharge norms. This initiative supported evidence-based evaluation and highlighted systemic improvements required for optimized functioning of urban wastewater infrastructure.
</v>
          </cell>
        </row>
        <row r="118">
          <cell r="E118" t="str">
            <v>PP00242</v>
          </cell>
          <cell r="F118" t="str">
            <v>Income Based</v>
          </cell>
          <cell r="G118" t="str">
            <v>Nomination</v>
          </cell>
          <cell r="H118">
            <v>18828465</v>
          </cell>
          <cell r="I118" t="str">
            <v>Fully Closed</v>
          </cell>
          <cell r="J118" t="str">
            <v>MHA</v>
          </cell>
          <cell r="L118">
            <v>45551</v>
          </cell>
          <cell r="M118">
            <v>45688</v>
          </cell>
        </row>
        <row r="119">
          <cell r="E119" t="str">
            <v>PP00243</v>
          </cell>
          <cell r="F119" t="str">
            <v>Income Based</v>
          </cell>
          <cell r="G119" t="str">
            <v>Nomination</v>
          </cell>
          <cell r="H119">
            <v>13000000</v>
          </cell>
          <cell r="I119" t="str">
            <v>Ongoing</v>
          </cell>
          <cell r="J119" t="str">
            <v xml:space="preserve">Uttar Pradesh State Tourism Development Corporation Ltd. </v>
          </cell>
          <cell r="K119" t="str">
            <v>Infrastructure</v>
          </cell>
          <cell r="L119">
            <v>45520</v>
          </cell>
          <cell r="M119">
            <v>46275</v>
          </cell>
          <cell r="N119" t="str">
            <v>-</v>
          </cell>
          <cell r="P119" t="str">
            <v xml:space="preserve">QCI was entrusted to conduct TPI of Civil/Electrical works being executed by the Uttar Pradesh State Tourism Development Corporation Ltd. (UPSTDC). It is to perform inspections on projects associated with tourism department across Uttar Pradesh. </v>
          </cell>
        </row>
        <row r="120">
          <cell r="E120" t="str">
            <v>PP00244</v>
          </cell>
          <cell r="F120" t="str">
            <v>Income Based</v>
          </cell>
          <cell r="G120" t="str">
            <v>Nomination</v>
          </cell>
          <cell r="H120">
            <v>5959781</v>
          </cell>
          <cell r="I120" t="str">
            <v>Completed</v>
          </cell>
          <cell r="J120" t="str">
            <v>DC Handlooms, Ministry of Textiles</v>
          </cell>
          <cell r="K120" t="str">
            <v>Handlooms</v>
          </cell>
          <cell r="L120">
            <v>45541</v>
          </cell>
          <cell r="M120">
            <v>45630</v>
          </cell>
          <cell r="N120">
            <v>45659</v>
          </cell>
          <cell r="O120" t="str">
            <v>The final report has been shared with the DC handloom after a review with SG.</v>
          </cell>
          <cell r="P120" t="str">
            <v>The Quality Council of India (QCI) conducted a pan-India third-party evaluation (TPE) from September to December 2024, assessing the Ministry of Textiles' Raw Material Supply Scheme (RMSS) for 2021-24. This flagship initiative, implemented by the National Handlooms Development Corporation (NHDC), provides 15% price subsidies on natural fiber yarns and transport subsidies to handloom weavers. The evaluation, covering 676 beneficiary groups and 65 suppliers (statistically representative samples), employed document and transaction verifications, key informant interviews, and focus group discussions to: 
1.	Determine the scheme's effectiveness and efficiency, 
2.	Provide data-driven insights for policy refinement, and 
3.	Deliver a comprehensive report to inform future support for Indian handloom weavers.</v>
          </cell>
        </row>
        <row r="121">
          <cell r="E121" t="str">
            <v>PP00245</v>
          </cell>
          <cell r="F121" t="str">
            <v>Income Based</v>
          </cell>
          <cell r="G121" t="str">
            <v>Nomination</v>
          </cell>
          <cell r="H121">
            <v>36576960</v>
          </cell>
          <cell r="I121" t="str">
            <v>Ongoing</v>
          </cell>
          <cell r="J121" t="str">
            <v>CBC</v>
          </cell>
          <cell r="L121">
            <v>45552</v>
          </cell>
          <cell r="M121">
            <v>45916</v>
          </cell>
          <cell r="N121">
            <v>46081</v>
          </cell>
        </row>
        <row r="122">
          <cell r="E122" t="str">
            <v>PP00246</v>
          </cell>
          <cell r="F122" t="str">
            <v>Income Based</v>
          </cell>
          <cell r="G122" t="str">
            <v>Tender</v>
          </cell>
          <cell r="H122">
            <v>9828000</v>
          </cell>
          <cell r="I122" t="str">
            <v>Ongoing</v>
          </cell>
          <cell r="J122" t="str">
            <v>Chhattisgarh State Power Generation Company Limited</v>
          </cell>
          <cell r="K122" t="str">
            <v>Coal</v>
          </cell>
          <cell r="L122">
            <v>45587</v>
          </cell>
          <cell r="M122">
            <v>45950</v>
          </cell>
          <cell r="N122">
            <v>46112</v>
          </cell>
          <cell r="P122" t="str">
            <v>QCI has won this project in the competeive bidding for quality analysis of coal at the mine end of ABVPTS.</v>
          </cell>
        </row>
        <row r="123">
          <cell r="E123" t="str">
            <v>PP00247</v>
          </cell>
          <cell r="F123" t="str">
            <v>Income Based</v>
          </cell>
          <cell r="G123" t="str">
            <v>Nomination</v>
          </cell>
          <cell r="H123">
            <v>4936680</v>
          </cell>
          <cell r="I123" t="str">
            <v>Fully Closed</v>
          </cell>
          <cell r="J123" t="str">
            <v>Tourism Corporation of Gujarat</v>
          </cell>
          <cell r="K123" t="str">
            <v>Tourism</v>
          </cell>
          <cell r="L123">
            <v>45589</v>
          </cell>
          <cell r="M123">
            <v>45665</v>
          </cell>
          <cell r="O123" t="str">
            <v>The report has been submitted. The changes are yet to be suggested by the client. Delay is from the client end.</v>
          </cell>
          <cell r="P123" t="str">
            <v>To fulfil the objectives of the multi-sector group, QCI will be engaging a consulting agency with sectoral expertise to support in ‘Preparation of Strategic Plans &amp; Roadmaps for the Multi-Sector Group’.</v>
          </cell>
        </row>
        <row r="124">
          <cell r="E124" t="str">
            <v>PP00248</v>
          </cell>
          <cell r="F124" t="str">
            <v>Income Based</v>
          </cell>
          <cell r="G124" t="str">
            <v>Nomination</v>
          </cell>
          <cell r="H124">
            <v>450000</v>
          </cell>
          <cell r="I124" t="str">
            <v>Fully Closed</v>
          </cell>
          <cell r="J124" t="str">
            <v xml:space="preserve">Nagar Nigam, Moradabad </v>
          </cell>
          <cell r="K124" t="str">
            <v>Infrastructure</v>
          </cell>
          <cell r="L124">
            <v>45602</v>
          </cell>
          <cell r="M124">
            <v>45632</v>
          </cell>
          <cell r="N124" t="str">
            <v>-</v>
          </cell>
          <cell r="O124" t="str">
            <v xml:space="preserve">Received Final payment and report has been submitted </v>
          </cell>
          <cell r="P124" t="str">
            <v>QCI was entrusted to conduct a one time survey of the quality of backlog waste lying in the trashing ground situated at Rampur Road</v>
          </cell>
        </row>
        <row r="125">
          <cell r="E125" t="str">
            <v>PP00249</v>
          </cell>
          <cell r="F125" t="str">
            <v>Income Based</v>
          </cell>
          <cell r="G125" t="str">
            <v>Nomination</v>
          </cell>
          <cell r="H125">
            <v>2000000</v>
          </cell>
          <cell r="I125" t="str">
            <v>Completed</v>
          </cell>
          <cell r="J125" t="str">
            <v>PHED, Govt. of Haryana</v>
          </cell>
          <cell r="K125" t="str">
            <v>Infrastructure</v>
          </cell>
          <cell r="L125">
            <v>45608</v>
          </cell>
          <cell r="M125">
            <v>45657</v>
          </cell>
          <cell r="N125" t="str">
            <v>-</v>
          </cell>
          <cell r="O125" t="str">
            <v>Extension is awaited, currently on hold</v>
          </cell>
          <cell r="P125" t="str">
            <v>QCI was entrusted to conduct Third Party Inspection of works other than JJM executed by PHED (Public Health Engineering Department) in the state of Haryana. QCI conducted 5 site inspections and have submitted the reports for the inspected sites. QCI will be receiving additional work from the department and the site inspection shall be conducted periodically.</v>
          </cell>
        </row>
        <row r="126">
          <cell r="E126" t="str">
            <v>PP00250</v>
          </cell>
          <cell r="F126" t="str">
            <v>Income Based</v>
          </cell>
          <cell r="G126" t="str">
            <v>Nomination</v>
          </cell>
          <cell r="H126">
            <v>12076400</v>
          </cell>
          <cell r="I126" t="str">
            <v>Completed</v>
          </cell>
          <cell r="J126" t="str">
            <v>MoJS</v>
          </cell>
          <cell r="K126" t="str">
            <v>Water</v>
          </cell>
          <cell r="L126">
            <v>45610</v>
          </cell>
          <cell r="M126">
            <v>45730</v>
          </cell>
          <cell r="N126">
            <v>45897</v>
          </cell>
          <cell r="O126" t="str">
            <v>The report was not completed by March. The extension was officially seeked by Mr. Aditya Raj till May 2025. Later, with the consultation with upper management and AS, Jal Shakti, the finak report was submitted with the final set of changes on 28th August 2025. The bill for the project has been cleared by Ministry post this.</v>
          </cell>
          <cell r="P126" t="str">
            <v>The Quality Council of India (QCI) was entrusted with assessing the quality of capacity-building trainings conducted under the Atal Bhujal Yojana (ABHY)—a flagship groundwater management program of the Ministry of Jal Shakti. The assessment covered training programs delivered at the Gram Panchayat (GP) level across 7 states: Gujarat, Haryana, Karnataka, Madhya Pradesh, Maharashtra, Rajasthan, and Uttar Pradesh.
The purpose of this exercise was to evaluate the effectiveness, inclusivity, content relevance, and impact of these trainings using structured tools and a multi-stakeholder approach. Feedback was collected from:
- Trainees (citizens)
- Facilitators
- Trainers
- Independent Assessors
The evaluation focused on six key Key Performance Indicators (KPIs):
1. Trainer competency and training content quality
2. Engagement and inclusivity during sessions
3. Training material and learning resources
4. Community outreach and post-training impact
5. Infrastructure and logistical arrangements
6. Feedback and success stories</v>
          </cell>
        </row>
        <row r="127">
          <cell r="E127" t="str">
            <v>PP00251</v>
          </cell>
          <cell r="F127" t="str">
            <v>Income Based</v>
          </cell>
          <cell r="G127" t="str">
            <v>Nomination</v>
          </cell>
          <cell r="H127">
            <v>5300400</v>
          </cell>
          <cell r="I127" t="str">
            <v>Completed</v>
          </cell>
          <cell r="J127" t="str">
            <v>MoJS</v>
          </cell>
          <cell r="K127" t="str">
            <v>Water</v>
          </cell>
          <cell r="L127">
            <v>45610</v>
          </cell>
          <cell r="M127">
            <v>45730</v>
          </cell>
          <cell r="N127">
            <v>45865</v>
          </cell>
          <cell r="O127" t="str">
            <v>The project went through various rounds of changes by client. The final changes were completed and submitted on 27th July 2025.</v>
          </cell>
          <cell r="P127" t="str">
            <v xml:space="preserve">QCI collaborated as a third-party inspection body with the National Program Management Unit under the Ministry of Jal Shakti for a detailed evaluation of the scheme’s effectiveness in addressing groundwater management challenges and achieving its intended outcomes.
The project aims to evaluate the impact of the Atal Bhujal Yojana by assessing the awareness among local communities regarding water-efficient practices, community participation, and behavioral changes in groundwater management, as well as examining the adoption of sustainable water practices across seven states. </v>
          </cell>
        </row>
        <row r="128">
          <cell r="E128" t="str">
            <v>PP00252</v>
          </cell>
          <cell r="F128" t="str">
            <v>Income Based</v>
          </cell>
          <cell r="G128" t="str">
            <v>Tender</v>
          </cell>
          <cell r="H128">
            <v>3787840</v>
          </cell>
          <cell r="I128" t="str">
            <v>Completed</v>
          </cell>
          <cell r="J128" t="str">
            <v>Agra Municipal Corporation</v>
          </cell>
          <cell r="K128" t="str">
            <v xml:space="preserve">Sanitation </v>
          </cell>
          <cell r="L128">
            <v>45615</v>
          </cell>
          <cell r="M128">
            <v>45801</v>
          </cell>
        </row>
        <row r="129">
          <cell r="E129" t="str">
            <v>PP00253</v>
          </cell>
          <cell r="F129" t="str">
            <v>Income Based</v>
          </cell>
          <cell r="G129" t="str">
            <v>Nomination</v>
          </cell>
          <cell r="H129">
            <v>300000</v>
          </cell>
          <cell r="I129" t="str">
            <v>Completed</v>
          </cell>
          <cell r="J129" t="str">
            <v xml:space="preserve">U.P. Projects Corporation Limited </v>
          </cell>
          <cell r="K129" t="str">
            <v>Infrastructure</v>
          </cell>
          <cell r="L129">
            <v>45619</v>
          </cell>
          <cell r="M129">
            <v>45646</v>
          </cell>
          <cell r="N129">
            <v>45716</v>
          </cell>
          <cell r="P129" t="str">
            <v xml:space="preserve">QCI was entrusted to conduct a special technical investigation of the Government Inter College Mussoorie Ghaziabad which included structural analysis and NDTs.
</v>
          </cell>
        </row>
        <row r="130">
          <cell r="E130" t="str">
            <v>PP00254</v>
          </cell>
          <cell r="F130" t="str">
            <v>Income Based</v>
          </cell>
          <cell r="G130" t="str">
            <v>Nomination</v>
          </cell>
          <cell r="H130">
            <v>20077200</v>
          </cell>
          <cell r="I130" t="str">
            <v>Ongoing</v>
          </cell>
          <cell r="J130" t="str">
            <v>Odisha State Civil Supplies Corporation (OSCSC)</v>
          </cell>
          <cell r="K130" t="str">
            <v>Food Security</v>
          </cell>
          <cell r="L130">
            <v>45621</v>
          </cell>
          <cell r="M130">
            <v>45752</v>
          </cell>
          <cell r="N130" t="str">
            <v>The revised date shall be determined based on the directions from MD, OSCSC and PPID Heads meeting with the client</v>
          </cell>
          <cell r="P130" t="str">
            <v xml:space="preserve">The project aims to ensure compliance with OSCSC and KMS operational standards across 1409 empaneled mills and 1,409 procurement centers in Odisha by conducting a verification of mills and spot checks at procurement centers. Quality Council of India (QCI) has partnered with OSCSC to paddy procurement centres, evaluating the availability of vital, essential, and desirable facilities that contribute to efficient and transparent procurement operations.
Additionally, QCI is supporting OSCSC in verifying:
• Physical stock reconciliation of paddy and rice stored at mills through on-ground verification.
• Energy consumption analysis for stock verification, ensuring accuracy in reported stock levels 
• Maturity assessment of empanelled mills, categorizing them into modernized, conventional, and semi-modern based on their infrastructure and milling practices.
</v>
          </cell>
        </row>
        <row r="131">
          <cell r="E131" t="str">
            <v>PP00255</v>
          </cell>
          <cell r="F131" t="str">
            <v>Income Based</v>
          </cell>
          <cell r="G131" t="str">
            <v>Tender</v>
          </cell>
          <cell r="H131">
            <v>5428085.2699999996</v>
          </cell>
          <cell r="I131" t="str">
            <v>Ongoing</v>
          </cell>
          <cell r="J131" t="str">
            <v>NBCC INDIA LIMITED</v>
          </cell>
          <cell r="K131" t="str">
            <v>Infrastructure</v>
          </cell>
          <cell r="L131">
            <v>45424</v>
          </cell>
          <cell r="M131">
            <v>46173</v>
          </cell>
          <cell r="P131" t="str">
            <v>The objective of this project is to monitor, assess, and verify compliance with project specifications, standards, and regulations to ensure the successful, timely, and high-quality completion of the redevelopment. Additionally, the TPQMA will identify any implementation gaps and provide recommendations for improvements, ensuring continuous monitoring and the potential for expansion to meet evolving project needs.</v>
          </cell>
        </row>
        <row r="132">
          <cell r="E132" t="str">
            <v>PP00256</v>
          </cell>
          <cell r="F132" t="str">
            <v>Income Based</v>
          </cell>
          <cell r="G132" t="str">
            <v>Nomination</v>
          </cell>
          <cell r="H132">
            <v>27360000</v>
          </cell>
          <cell r="I132" t="str">
            <v>Ongoing</v>
          </cell>
          <cell r="J132" t="str">
            <v>BIPARD</v>
          </cell>
          <cell r="K132" t="str">
            <v>Infrastructure</v>
          </cell>
          <cell r="L132">
            <v>45642</v>
          </cell>
          <cell r="M132">
            <v>46752</v>
          </cell>
          <cell r="N132" t="str">
            <v>-</v>
          </cell>
          <cell r="P132" t="str">
            <v>Quality Council of India (QCI) has established a dedicated Project Management Unit (PMU) at the Bihar Institute of Public Administration and Rural Development (BIPARD) to provide comprehensive technical, engineering, and strategic support. This initiative aims to enhance BIPARD’s institutional capacity by assisting in infrastructure planning, project execution, and technical consultations across various engineering domains. The PMU plays a crucial role in streamlining processes, improving operational efficiency, and ensuring high-quality outcomes in project implementation. The team, comprising highly experienced sector experts, brings deep domain knowledge in project management, quality assurance, and technical assessments. QCI provides guidance on best practices and ensures adherence to regulatory and quality standards. Through continuous engagement and expertise-driven interventions, the QCI PMU supports BIPARD in achieving its objectives, strengthening institutional frameworks, and fostering quality-focused development in public administration and rural governance.</v>
          </cell>
        </row>
        <row r="133">
          <cell r="E133" t="str">
            <v>PP00257</v>
          </cell>
          <cell r="F133" t="str">
            <v>Income Based</v>
          </cell>
          <cell r="G133" t="str">
            <v>Nomination</v>
          </cell>
          <cell r="H133">
            <v>21862400</v>
          </cell>
          <cell r="I133" t="str">
            <v>Booked under SPD from FY 2025-26</v>
          </cell>
          <cell r="J133" t="str">
            <v>Samagra Shiksha, Department of Education, AP</v>
          </cell>
          <cell r="K133" t="str">
            <v>Quality Assurance</v>
          </cell>
          <cell r="L133">
            <v>45631</v>
          </cell>
          <cell r="M133">
            <v>45813</v>
          </cell>
          <cell r="N133" t="str">
            <v>-</v>
          </cell>
          <cell r="O133" t="str">
            <v>-</v>
          </cell>
          <cell r="P133" t="str">
            <v>The Department of School Education onboarded QCI as a quality assurance partner to ensure that the procured products meet 100% compliance with the specified Indian Standards. This partnership is critical to guaranteeing that only quality products are delivered to the end beneficiaries, thereby maintaining trust and achieving the scheme's objectives.</v>
          </cell>
        </row>
        <row r="134">
          <cell r="E134" t="str">
            <v>PP00258</v>
          </cell>
          <cell r="F134" t="str">
            <v>Income Based</v>
          </cell>
          <cell r="G134" t="str">
            <v>Tender</v>
          </cell>
          <cell r="H134">
            <v>1691200</v>
          </cell>
          <cell r="I134" t="str">
            <v>Fully Closed</v>
          </cell>
          <cell r="J134" t="str">
            <v>Ministry of Labour &amp; Employment</v>
          </cell>
          <cell r="K134" t="str">
            <v>Social Impact</v>
          </cell>
          <cell r="L134">
            <v>45640</v>
          </cell>
          <cell r="M134" t="str">
            <v>30/05/2025</v>
          </cell>
          <cell r="N134">
            <v>45818</v>
          </cell>
          <cell r="O134" t="str">
            <v>Project Completed</v>
          </cell>
          <cell r="P134" t="str">
            <v>To evaluate the impact of these schemes on targeted beneficiaries+T21, sectors, and areas, conduct an output-outcome analysis, and assess implementation gaps by examining alignment with scheme design. Additionally, provide recommendations for improving implementation, continuing the schemes, and expanding their scope to cover additional sectors effectively.</v>
          </cell>
        </row>
        <row r="135">
          <cell r="E135" t="str">
            <v>PP00259</v>
          </cell>
          <cell r="F135" t="str">
            <v>Income Based</v>
          </cell>
          <cell r="G135" t="str">
            <v>Nomination</v>
          </cell>
          <cell r="H135">
            <v>37576134</v>
          </cell>
          <cell r="I135" t="str">
            <v>Ongoing</v>
          </cell>
          <cell r="J135" t="str">
            <v>FSSAI</v>
          </cell>
          <cell r="K135" t="str">
            <v>Food</v>
          </cell>
          <cell r="L135">
            <v>45691</v>
          </cell>
          <cell r="M135">
            <v>45803</v>
          </cell>
          <cell r="N135">
            <v>45913</v>
          </cell>
          <cell r="O135" t="str">
            <v>Based on the feedback from FSSAI, revisions are being done to the report. 4th time edits are being done.</v>
          </cell>
          <cell r="P135" t="str">
            <v>To address the concerns regarding the adulteration, declining quality, and misbranding of packaged edible oils sold in the Indian market, the Quality Council of India (QCI), conducted a comprehensive nationwide survey. The core objective of this survey was to assess the adherence of packaged edible oils to established quality, safety, and labelling standards across India. 
The project specifically aimed to:
• Evaluate adherence of packaged edible oils with the quality, safety, and labelling regulations as per the FSSR.
• Determine parameter-wise adherence of collected edible oil samples across different geographical regions of India. This involved the collection of samples from 12 edible oil product categories across 250 city/district(s) covering all 36 State/UT(s). The collected samples were tested for parameters including Adulterants, Crop Contaminants &amp; NOTS and General/Proximate Analysis, and Heavy Metals. Furthermore, the data were analysed to derive valuable insights.</v>
          </cell>
        </row>
        <row r="136">
          <cell r="E136" t="str">
            <v>PP00260</v>
          </cell>
          <cell r="F136" t="str">
            <v>Income Based</v>
          </cell>
          <cell r="G136" t="str">
            <v>Nomination</v>
          </cell>
          <cell r="H136">
            <v>10416000</v>
          </cell>
          <cell r="I136" t="str">
            <v>Ongoing</v>
          </cell>
          <cell r="J136" t="str">
            <v>Ministry of Culture</v>
          </cell>
          <cell r="K136" t="str">
            <v>Arts, Culture &amp; Heritage</v>
          </cell>
          <cell r="L136">
            <v>45629</v>
          </cell>
          <cell r="M136">
            <v>45993</v>
          </cell>
          <cell r="P136" t="str">
            <v>The objective of the project is to setup a PMU to develop the drafts of a new policy and a new central sector scheme which addresses the needs of the Creative &amp; Cultural Economy of India, and targets arts &amp; culture practitioners.</v>
          </cell>
        </row>
        <row r="137">
          <cell r="E137" t="str">
            <v>PP00261</v>
          </cell>
          <cell r="F137" t="str">
            <v>Income Based</v>
          </cell>
          <cell r="G137" t="str">
            <v>Nomination</v>
          </cell>
          <cell r="H137">
            <v>1512000</v>
          </cell>
          <cell r="I137" t="str">
            <v>Completed</v>
          </cell>
          <cell r="J137" t="str">
            <v>Department of Administrative Reforms and Public Grievances</v>
          </cell>
          <cell r="K137" t="str">
            <v>Governance</v>
          </cell>
          <cell r="L137">
            <v>45637</v>
          </cell>
          <cell r="M137">
            <v>45729</v>
          </cell>
          <cell r="N137">
            <v>45841</v>
          </cell>
          <cell r="O137" t="str">
            <v xml:space="preserve"> The project work order extension has been received</v>
          </cell>
          <cell r="P137" t="str">
            <v>The assessment was carried out using a structured framework covering key parameters such as technology deployed, human resource adequacy, maintenance practices, treatment efficiency, power backup systems, and compliance with discharge norms. This initiative supported evidence-based evaluation and highlighted systemic improvements required for optimized functioning of urban wastewater infrastructure.</v>
          </cell>
        </row>
        <row r="138">
          <cell r="E138" t="str">
            <v>PP00262</v>
          </cell>
          <cell r="F138" t="str">
            <v>Income Based</v>
          </cell>
          <cell r="G138" t="str">
            <v>Tender</v>
          </cell>
          <cell r="H138">
            <v>7169491.5300000003</v>
          </cell>
          <cell r="I138" t="str">
            <v>Ongoing</v>
          </cell>
          <cell r="J138" t="str">
            <v>Jamia Millia Islamia</v>
          </cell>
          <cell r="K138" t="str">
            <v>Infrastructure</v>
          </cell>
          <cell r="L138">
            <v>45639</v>
          </cell>
          <cell r="M138">
            <v>46003</v>
          </cell>
          <cell r="P138" t="str">
            <v>To ensure that all construction projects, including the Multistory Administrative Block, Academic Block for Health &amp; Allied Sciences, Teaching Block, Residential Staff Quarters, Hall of Residence, and Research &amp; Teaching Block, meet the required quality standards and specifications. QCI will independently inspect and monitor materials, methods, and finished work, ensuring compliance, identifying risks, and promoting transparency for successful project completion.</v>
          </cell>
        </row>
        <row r="139">
          <cell r="E139" t="str">
            <v>PP00263</v>
          </cell>
          <cell r="F139" t="str">
            <v>Income Based</v>
          </cell>
          <cell r="G139" t="str">
            <v>Nomination</v>
          </cell>
          <cell r="H139" t="str">
            <v>Rs. 13,44,000 (Exlcuding Taxes) from 8th January to 7th May, 2025.</v>
          </cell>
          <cell r="I139" t="str">
            <v>Completed</v>
          </cell>
          <cell r="J139" t="str">
            <v>Department of Administrative Reforms and Public Grievances</v>
          </cell>
          <cell r="K139" t="str">
            <v>Governance</v>
          </cell>
          <cell r="L139">
            <v>45665</v>
          </cell>
          <cell r="M139">
            <v>45843</v>
          </cell>
          <cell r="N139" t="str">
            <v>-</v>
          </cell>
          <cell r="O139" t="str">
            <v>-</v>
          </cell>
          <cell r="P139" t="str">
            <v>Team to assist the Documentation &amp; Dissemination Division of DARPG in producing the documentary films, organize conferences, making of proceedings, speeches, etc.</v>
          </cell>
        </row>
        <row r="140">
          <cell r="E140" t="str">
            <v>PP00265</v>
          </cell>
          <cell r="F140" t="str">
            <v>Income Based</v>
          </cell>
          <cell r="G140" t="str">
            <v>Nomination</v>
          </cell>
          <cell r="H140">
            <v>139539510</v>
          </cell>
          <cell r="I140" t="str">
            <v>Ongoing</v>
          </cell>
          <cell r="J140" t="str">
            <v>KPCL</v>
          </cell>
          <cell r="K140" t="str">
            <v>Coal</v>
          </cell>
          <cell r="L140">
            <v>45661</v>
          </cell>
          <cell r="M140">
            <v>46783</v>
          </cell>
          <cell r="P140" t="str">
            <v>We have been awarded work on nomination for Karnataka Power Corporation Limited (KPCL) for sampling, tesing and analysis of coal at all their plant ends</v>
          </cell>
        </row>
        <row r="141">
          <cell r="E141" t="str">
            <v>PP00266</v>
          </cell>
          <cell r="F141" t="str">
            <v>Income Based</v>
          </cell>
          <cell r="G141" t="str">
            <v>Tender</v>
          </cell>
          <cell r="H141">
            <v>8326080</v>
          </cell>
          <cell r="I141" t="str">
            <v>Ongoing</v>
          </cell>
          <cell r="J141" t="str">
            <v>Bhopal Municipal Corporation</v>
          </cell>
          <cell r="K141" t="str">
            <v xml:space="preserve">Sanitation </v>
          </cell>
          <cell r="L141">
            <v>45694</v>
          </cell>
          <cell r="M141">
            <v>46059</v>
          </cell>
          <cell r="P141" t="str">
            <v>The Quality Council of India (QCI) is currently engaged with Bhopal Municipal Corporation (BMC) as a City Technical Support Unit (CTSU) to provide strategic and operational support for the effective implementation of various centrally sponsored urban development schemes under the Ministry of Housing and Urban Affairs (MoHUA). This includes enhancing the city’s performance in areas such as water supply and sewerage management, improving sanitation infrastructure under the Swachh Bharat Mission-Urban (SBM-U), reducing non-revenue water through district metered areas (DMAs), and supporting the rejuvenation of traditional water bodies. QCI’s team works closely with BMC officials to monitor progress, ensure compliance with service level benchmarks, strengthen institutional capacity, and drive evidence-based decision-making through regular field validations, reporting, and inter-departmental coordination.</v>
          </cell>
        </row>
        <row r="142">
          <cell r="E142" t="str">
            <v>PP00267</v>
          </cell>
          <cell r="F142" t="str">
            <v>Income Based</v>
          </cell>
          <cell r="G142" t="str">
            <v>Tender</v>
          </cell>
          <cell r="H142">
            <v>100171357</v>
          </cell>
          <cell r="I142" t="str">
            <v>Ongoing</v>
          </cell>
          <cell r="J142" t="str">
            <v>Ministry of Housing and Urban Affairs</v>
          </cell>
          <cell r="K142" t="str">
            <v xml:space="preserve">Sanitation </v>
          </cell>
          <cell r="L142">
            <v>45697</v>
          </cell>
          <cell r="M142">
            <v>46062</v>
          </cell>
          <cell r="P142" t="str">
            <v>As part of the Swachh Bharat Mission – Urban, the Ministry of Housing and Urban Affairs (MoHUA) has mandated third-party verification of claims made by Urban Local Bodies (ULBs) under the Open Defecation Free (ODF), ODF+/++, Water+, and Garbage Free City (GFC) protocols. The Quality Council of India (QCI) has been entrusted to conduct these assessments across the country.
This project involves deploying trained assessors to conduct comprehensive field-level evaluations of sanitation infrastructure, waste management practices, and community engagement in ULBs. The assessments are conducted through physical verification, stakeholder interactions, photographic documentation, and evidence-based validation of service delivery standards. The process ensures transparency, objectivity, and consistency in certifying cities and towns as ODF or GFC compliant, thereby supporting MoHUA’s vision of achieving sustainable urban sanitation and waste management.</v>
          </cell>
        </row>
        <row r="143">
          <cell r="E143" t="str">
            <v>PP00268</v>
          </cell>
          <cell r="F143" t="str">
            <v>Income Based</v>
          </cell>
          <cell r="G143" t="str">
            <v>Nomination</v>
          </cell>
          <cell r="H143">
            <v>99200</v>
          </cell>
          <cell r="I143" t="str">
            <v>Fully Closed</v>
          </cell>
          <cell r="J143" t="str">
            <v>NLC India Limited</v>
          </cell>
          <cell r="K143" t="str">
            <v>Infrastructure</v>
          </cell>
          <cell r="L143">
            <v>45709</v>
          </cell>
          <cell r="M143">
            <v>46081</v>
          </cell>
          <cell r="P143" t="str">
            <v>We need to carry Non destructive testing of houses to assess their quality and structural stability. We have to give our reports to the client upon which client will decide the quality of structures.</v>
          </cell>
        </row>
        <row r="144">
          <cell r="E144" t="str">
            <v>PP00269</v>
          </cell>
          <cell r="F144" t="str">
            <v>Income Based</v>
          </cell>
          <cell r="G144" t="str">
            <v>Nomination</v>
          </cell>
          <cell r="I144" t="str">
            <v>Ongoing</v>
          </cell>
          <cell r="J144" t="str">
            <v>SEPC Power Private Limited</v>
          </cell>
          <cell r="K144" t="str">
            <v>Coal</v>
          </cell>
          <cell r="L144">
            <v>45728</v>
          </cell>
          <cell r="M144">
            <v>49380</v>
          </cell>
          <cell r="P144" t="str">
            <v>Qualitative analysis of coal at port end of SEPC</v>
          </cell>
        </row>
        <row r="145">
          <cell r="E145" t="str">
            <v>PP00270</v>
          </cell>
          <cell r="F145" t="str">
            <v>Income Based</v>
          </cell>
          <cell r="G145" t="str">
            <v>Nomination</v>
          </cell>
          <cell r="H145" t="str">
            <v>1,88,79,900 
(5th March - 16th August 2025)</v>
          </cell>
          <cell r="I145" t="str">
            <v>Ongoing</v>
          </cell>
          <cell r="J145" t="str">
            <v>MoHUA</v>
          </cell>
          <cell r="K145" t="str">
            <v>Social, Financial Inclsuion &amp; Identification of Vulnerable Occupational Groups</v>
          </cell>
          <cell r="L145">
            <v>45721</v>
          </cell>
          <cell r="M145">
            <v>45930</v>
          </cell>
          <cell r="N145">
            <v>46022</v>
          </cell>
          <cell r="O145" t="str">
            <v xml:space="preserve"> WO ext received till 16th Aug'25</v>
          </cell>
          <cell r="P145" t="str">
            <v xml:space="preserve">QCI is engaged as an implementation partner by Ministry of Housing &amp; Urban Affairs (MoHUA) for the development of technology tool (IT portal, dashboard, mobile application) under Mission of Urban Poverty Alleviation to conduct the socio-economic profiling of 2.5 Cr. urban poor households (HHs) in next 5 years in 4500+ ULBs with focused interventions with urban vulnerable groups - Construction Workers, Transport Workers, Gig Workers, Domestic Workers, Waste Workers, and Care Workers. 
The project aims to:
•	Enhance social security entitlement of urban poor HH
•	Promote financial inclusion for vulnerable groups post identification through socio-economic profiling 
•	Access to central &amp; state welfare schemes through single window system 
•	Create baseline data of urban poor HH </v>
          </cell>
        </row>
        <row r="146">
          <cell r="E146" t="str">
            <v>PP00271</v>
          </cell>
          <cell r="F146" t="str">
            <v>Income Based</v>
          </cell>
          <cell r="G146" t="str">
            <v>Nomination</v>
          </cell>
          <cell r="H146">
            <v>1036000</v>
          </cell>
          <cell r="I146" t="str">
            <v>Ongoing</v>
          </cell>
          <cell r="J146" t="str">
            <v>Gujtour Development Company Ltd</v>
          </cell>
          <cell r="K146" t="str">
            <v>Tourism</v>
          </cell>
          <cell r="L146">
            <v>45703</v>
          </cell>
          <cell r="M146">
            <v>45962</v>
          </cell>
          <cell r="O146" t="str">
            <v>Organisational structure submitted. Under review.</v>
          </cell>
          <cell r="P146" t="str">
            <v>GujTour has engaged QCI to undertake a comprehensive organizational structuring. The primary objective is to create an organisation structure to make GujTour a master aggregator.This includes benchmarking against similar organizations, streamlining manpower allocation, and recommending strategies for improved operational efficiency and stakeholder management.</v>
          </cell>
        </row>
        <row r="147">
          <cell r="E147" t="str">
            <v>PP00272</v>
          </cell>
          <cell r="F147" t="str">
            <v>Income Based</v>
          </cell>
          <cell r="G147" t="str">
            <v>Nomination</v>
          </cell>
          <cell r="H147">
            <v>2150400</v>
          </cell>
          <cell r="I147" t="str">
            <v>Ongoing</v>
          </cell>
          <cell r="J147" t="str">
            <v>MHA</v>
          </cell>
          <cell r="L147">
            <v>45795</v>
          </cell>
          <cell r="M147">
            <v>46081</v>
          </cell>
        </row>
        <row r="148">
          <cell r="E148" t="str">
            <v>PP00273</v>
          </cell>
          <cell r="F148" t="str">
            <v>Income Based</v>
          </cell>
          <cell r="G148" t="str">
            <v>Nomination</v>
          </cell>
          <cell r="H148">
            <v>10886400</v>
          </cell>
          <cell r="I148" t="str">
            <v>Ongoing</v>
          </cell>
          <cell r="J148" t="str">
            <v>Ministry of Culture</v>
          </cell>
          <cell r="K148" t="str">
            <v>Arts, Culture &amp; Heritage</v>
          </cell>
          <cell r="L148">
            <v>45748</v>
          </cell>
          <cell r="M148">
            <v>46112</v>
          </cell>
          <cell r="P148" t="str">
            <v>The Quality Council of India through its diagnostic study of the organizations and Central Sector Schemes provided detailed recommendations to the Ministry to streamline and reorient the schemes to optimize resources for maximum impact and help the Ministry align its schemes with its broader mission. In order to streamline the monitoring &amp; management of schemes under the Performing Arts bureau and implement select recommendations, the Ministry of Culture requested the Quality Council of India to set up a Project Management Unit (PMU). 
Professionals working in the PMU will ensure timely delivery of tasks and primarily work on the areas as defined by the officials in charge at the PM Division, Ministry of Culture.</v>
          </cell>
        </row>
        <row r="149">
          <cell r="E149" t="str">
            <v>PP00274</v>
          </cell>
          <cell r="F149" t="str">
            <v>Income Based</v>
          </cell>
          <cell r="G149" t="str">
            <v>Nomination</v>
          </cell>
          <cell r="H149">
            <v>337500</v>
          </cell>
          <cell r="I149" t="str">
            <v>Ongoing</v>
          </cell>
          <cell r="J149" t="str">
            <v>Kanpur Electricity Supply Company</v>
          </cell>
          <cell r="K149" t="str">
            <v>Infrastructure</v>
          </cell>
          <cell r="L149">
            <v>45737</v>
          </cell>
          <cell r="M149">
            <v>46102</v>
          </cell>
          <cell r="P149" t="str">
            <v>Testing and valuation of Scrap Transformers in the workshops of Kesco</v>
          </cell>
        </row>
        <row r="150">
          <cell r="E150" t="str">
            <v>PP00275</v>
          </cell>
          <cell r="F150" t="str">
            <v>Income Based</v>
          </cell>
          <cell r="G150" t="str">
            <v>Nomination</v>
          </cell>
          <cell r="H150">
            <v>1350240</v>
          </cell>
          <cell r="I150" t="str">
            <v>Ongoing</v>
          </cell>
          <cell r="J150" t="str">
            <v>Nagar Nigam Mathura Vrindavan</v>
          </cell>
          <cell r="K150" t="str">
            <v>Infrastructure</v>
          </cell>
          <cell r="L150">
            <v>45734</v>
          </cell>
          <cell r="M150">
            <v>46191</v>
          </cell>
          <cell r="P150" t="str">
            <v>Quality Inspection of re development of Govindpur Road under CM-GRID scheme in the city of Mathura-Vrindavan</v>
          </cell>
        </row>
        <row r="151">
          <cell r="E151" t="str">
            <v>PP00276</v>
          </cell>
          <cell r="F151" t="str">
            <v>Income Based</v>
          </cell>
          <cell r="G151" t="str">
            <v>Tender</v>
          </cell>
          <cell r="H151">
            <v>26100000</v>
          </cell>
          <cell r="I151" t="str">
            <v>Ongoing</v>
          </cell>
          <cell r="J151" t="str">
            <v xml:space="preserve">Barelley Development Authority </v>
          </cell>
          <cell r="K151" t="str">
            <v>Infrastructure</v>
          </cell>
          <cell r="L151">
            <v>45741</v>
          </cell>
          <cell r="M151">
            <v>46471</v>
          </cell>
          <cell r="P151" t="str">
            <v xml:space="preserve">Quality Assurance of Developmental works of Civil, Electrical and Mechanical works in the city of Barelley </v>
          </cell>
        </row>
        <row r="152">
          <cell r="E152" t="str">
            <v>PP00277</v>
          </cell>
          <cell r="F152" t="str">
            <v>Income Based</v>
          </cell>
          <cell r="G152" t="str">
            <v>Nomination</v>
          </cell>
          <cell r="H152" t="str">
            <v>Rs. 66,24,800 (Excl. Taxes)</v>
          </cell>
          <cell r="I152" t="str">
            <v>Completed</v>
          </cell>
          <cell r="J152" t="str">
            <v>Government of Maharashtra</v>
          </cell>
          <cell r="K152" t="str">
            <v>Governance</v>
          </cell>
          <cell r="L152">
            <v>45748</v>
          </cell>
          <cell r="M152">
            <v>45808</v>
          </cell>
          <cell r="N152" t="str">
            <v>-</v>
          </cell>
          <cell r="O152" t="str">
            <v>-</v>
          </cell>
          <cell r="P152" t="str">
            <v xml:space="preserve">•	QCI will conduct their final evaluation post the initial shortlisting conducted by the Government of Maharashtra
•	The evaluation will include Desktop Assessment, Field Assessment, Officials’ Interviews, Jury Evaluation for 53 offices in Phase 1 – Offices include District Collectors, Zilla Parishad CEOs, Divisional Commissioners, Municipal Commissioners, Superintendents of Police, Police Range IGs/DIGs, Police Commissioners, Commissioners/Directors, All Departments, ACS/PS/Sec
•	The evaluation will include Desktop Assessment, Field Assessment, Officials’ Interviews (for 8 Offices), Jury Evaluation for 458 offices in Phase 2 – Offices include District level offices, Divisional level offices, Corporations/Authorities </v>
          </cell>
        </row>
        <row r="153">
          <cell r="E153" t="str">
            <v>PP00278</v>
          </cell>
          <cell r="F153" t="str">
            <v>Income Based</v>
          </cell>
          <cell r="G153" t="str">
            <v>Nomination</v>
          </cell>
          <cell r="H153">
            <v>1355932</v>
          </cell>
          <cell r="I153" t="str">
            <v>Completed</v>
          </cell>
          <cell r="J153" t="str">
            <v>Roads &amp; Buildings Department , Gujarat</v>
          </cell>
          <cell r="K153" t="str">
            <v>R&amp;B</v>
          </cell>
          <cell r="L153">
            <v>45768</v>
          </cell>
          <cell r="M153">
            <v>45798</v>
          </cell>
          <cell r="O153" t="str">
            <v>Report submitted. Feedback pending on the client's end.</v>
          </cell>
          <cell r="P153" t="str">
            <v>The R&amp;B Department has engaged QCI to conduct a pilot assessment of guest houses in Ahmedabad. The objective is to evaluate their current condition, identify challenges and bottlenecks, and develop a Standard Operating Procedure (SOP) to align them with industry standards.</v>
          </cell>
        </row>
        <row r="154">
          <cell r="E154" t="str">
            <v>PP00279</v>
          </cell>
          <cell r="F154" t="str">
            <v>Income Based</v>
          </cell>
          <cell r="G154" t="str">
            <v>Tender</v>
          </cell>
          <cell r="H154">
            <v>1995337</v>
          </cell>
          <cell r="I154" t="str">
            <v>Ongoing</v>
          </cell>
          <cell r="J154" t="str">
            <v>Directorate of Evaluation (DoE), Govt. of Gujarat</v>
          </cell>
          <cell r="K154" t="str">
            <v>Irrigation</v>
          </cell>
          <cell r="L154">
            <v>45775</v>
          </cell>
          <cell r="M154">
            <v>45941</v>
          </cell>
          <cell r="N154">
            <v>46021</v>
          </cell>
          <cell r="O154" t="str">
            <v>Due to Local Panchayat Election &amp; changes in Gujarat govt/administration</v>
          </cell>
          <cell r="P154" t="str">
            <v>The evaluation will focus on assessing the success of the scheme in achieving its objectives in Gujarat, examining the outcomes, implementation efficiency, and measuring the overall impact of the scheme with following scope of work:
# Assessment of the effectiveness of the scheme in achieving the set targets.
# Identifying challenges in implementation and recommend improvements.
# Impact assessment on the socio-economic status of the beneficiaries of the scheme/ programme.
# Budget Allocation vs Budget Utilization across districts for at least last 5 years.</v>
          </cell>
        </row>
        <row r="155">
          <cell r="E155" t="str">
            <v>PP00280</v>
          </cell>
          <cell r="F155" t="str">
            <v>Income Based</v>
          </cell>
          <cell r="G155" t="str">
            <v>Tender</v>
          </cell>
          <cell r="H155">
            <v>3178200</v>
          </cell>
          <cell r="I155" t="str">
            <v>Ongoing</v>
          </cell>
          <cell r="J155" t="str">
            <v>Kanpur Electricity Supply Company</v>
          </cell>
          <cell r="K155" t="str">
            <v>Infrastructure</v>
          </cell>
          <cell r="L155">
            <v>45754</v>
          </cell>
          <cell r="M155">
            <v>46480</v>
          </cell>
          <cell r="P155" t="str">
            <v>Thirs Party Inspection of System Development and Strengthening works under KESCo</v>
          </cell>
        </row>
        <row r="156">
          <cell r="E156" t="str">
            <v>PP00281</v>
          </cell>
          <cell r="F156" t="str">
            <v>Income Based</v>
          </cell>
          <cell r="G156" t="str">
            <v>Tender</v>
          </cell>
          <cell r="H156">
            <v>1705000</v>
          </cell>
          <cell r="I156" t="str">
            <v>Fully Closed</v>
          </cell>
          <cell r="J156" t="str">
            <v>NIUA</v>
          </cell>
          <cell r="K156" t="str">
            <v>Water suply</v>
          </cell>
          <cell r="L156">
            <v>45775</v>
          </cell>
          <cell r="M156">
            <v>45836</v>
          </cell>
          <cell r="O156" t="str">
            <v>The project has been completed, all data has been submitted to the client, and the first payment has been received.</v>
          </cell>
          <cell r="P156" t="str">
            <v>Verification of Pre-construction, Under-construction and Constructed projects across 167 ULBs under AMRUT 2.0</v>
          </cell>
        </row>
        <row r="157">
          <cell r="E157" t="str">
            <v>PP00282</v>
          </cell>
          <cell r="F157" t="str">
            <v>Income Based</v>
          </cell>
          <cell r="G157" t="str">
            <v>Nomination</v>
          </cell>
          <cell r="H157">
            <v>1108800</v>
          </cell>
          <cell r="I157" t="str">
            <v>Ongoing</v>
          </cell>
          <cell r="J157" t="str">
            <v>NLMC</v>
          </cell>
          <cell r="L157">
            <v>45716</v>
          </cell>
          <cell r="M157">
            <v>45869</v>
          </cell>
          <cell r="N157">
            <v>45983</v>
          </cell>
        </row>
        <row r="158">
          <cell r="E158" t="str">
            <v>PP00283</v>
          </cell>
          <cell r="F158" t="str">
            <v>Income Based</v>
          </cell>
          <cell r="G158" t="str">
            <v>Nomination</v>
          </cell>
          <cell r="H158">
            <v>23661100</v>
          </cell>
          <cell r="I158" t="str">
            <v>Ongoing</v>
          </cell>
          <cell r="J158" t="str">
            <v>Ministry of Culture</v>
          </cell>
          <cell r="K158" t="str">
            <v>Arts, Culture &amp; Heritage</v>
          </cell>
          <cell r="L158">
            <v>45748</v>
          </cell>
          <cell r="M158">
            <v>46112</v>
          </cell>
          <cell r="P158" t="str">
            <v>The objective of the project is to set up a dedicated Project Management Unit (PMU) within the C&amp;M Division of the Ministry of Culture, led by the Quality Council of India (QCI), to drive systemic transformation, enhance cultural governance, and deliver impactful initiatives aligned with the vision of "Amrit Kaal."</v>
          </cell>
        </row>
        <row r="159">
          <cell r="E159" t="str">
            <v>PP00284</v>
          </cell>
          <cell r="F159" t="str">
            <v>Income Based</v>
          </cell>
          <cell r="G159" t="str">
            <v>Tender</v>
          </cell>
          <cell r="H159">
            <v>2150500</v>
          </cell>
          <cell r="I159" t="str">
            <v>Fully Closed</v>
          </cell>
          <cell r="J159" t="str">
            <v>NIUA</v>
          </cell>
          <cell r="K159" t="str">
            <v>Water suply</v>
          </cell>
          <cell r="L159">
            <v>45794</v>
          </cell>
          <cell r="M159">
            <v>45917</v>
          </cell>
          <cell r="O159" t="str">
            <v>Data has been submitted on portal. First Payment has been received and final invoice has been sumitted to client</v>
          </cell>
          <cell r="P159" t="str">
            <v>Verification of Pre-construction, Under-construction and Constructed projects across 402 ULBs (Increased during the project) under AMRUT 2.0</v>
          </cell>
        </row>
        <row r="160">
          <cell r="E160" t="str">
            <v>PP00285</v>
          </cell>
          <cell r="F160" t="str">
            <v>Income Based</v>
          </cell>
          <cell r="G160" t="str">
            <v>Nomination</v>
          </cell>
          <cell r="H160">
            <v>278417</v>
          </cell>
          <cell r="I160" t="str">
            <v>Completed</v>
          </cell>
          <cell r="J160" t="str">
            <v>U.P. State Archaeology Department</v>
          </cell>
          <cell r="K160" t="str">
            <v>Infrastructure</v>
          </cell>
          <cell r="L160">
            <v>45813</v>
          </cell>
          <cell r="M160">
            <v>45869</v>
          </cell>
          <cell r="P160" t="str">
            <v>QCI has been entrusted by the Directorate of Archaeology, U.P. State Archaeology Department to perform third-party inspection of the project for examination of three ongoing projects sites in (1. Valmiki Ashram, Bithoor, Kanpur Nagar, 2. Sitaram Mahal, Kotvan, Mathura and 3. Rasik Bihari Temple, Fatehpur) under the budget provision of the financial year 2023-24. The objective is to conduct a special technical investigation which included material testing. </v>
          </cell>
        </row>
        <row r="161">
          <cell r="E161" t="str">
            <v>PP00286</v>
          </cell>
          <cell r="F161" t="str">
            <v>Income Based</v>
          </cell>
          <cell r="G161" t="str">
            <v>Nomination</v>
          </cell>
          <cell r="H161">
            <v>8496278</v>
          </cell>
          <cell r="I161" t="str">
            <v>Ongoing</v>
          </cell>
          <cell r="J161" t="str">
            <v>Department of Animal Husbandry &amp; Dairying (DAHD), Ministry of Fisheries, Animal Husbandry and Dairying, GoI</v>
          </cell>
          <cell r="K161" t="str">
            <v>Dairy Development</v>
          </cell>
          <cell r="L161">
            <v>45827</v>
          </cell>
          <cell r="M161">
            <v>45981</v>
          </cell>
          <cell r="N161" t="str">
            <v>NA</v>
          </cell>
          <cell r="O161" t="str">
            <v>NA</v>
          </cell>
          <cell r="P161" t="str">
            <v>•	To evaluate/ appraise the impact of different components of NPDD Scheme on the targeted beneficiaries/ sectors/ areas in terms of both quantitative and qualitative factors
•	Physical assessment of infrastructure created under the component A and Component B of NPDD on sample basis
•	To undertake an output-outcome analysis of NPDD as per the objectives of the scheme 
•	Assessment of funds released by GoI under NPDD and its utilization as per NPDD scheme/ operational guidelines and Financial management manual and only for the purposes for which the funds were provided, assess diversion or duplication in project implementation (if any)
•	To study the gaps in implementation (if any), qualitative aspects of implementation, and suggest measures for improvement in the future
•	To provide suitable recommendations for the continuation / modification / dis-continuation of components / activities of the scheme</v>
          </cell>
        </row>
        <row r="162">
          <cell r="E162" t="str">
            <v>PP00287</v>
          </cell>
          <cell r="F162" t="str">
            <v>Income Based</v>
          </cell>
          <cell r="G162" t="str">
            <v>Tender</v>
          </cell>
          <cell r="H162">
            <v>108160639</v>
          </cell>
          <cell r="I162" t="str">
            <v>Ongoing</v>
          </cell>
          <cell r="J162" t="str">
            <v>SUDA, Chhattisgarh</v>
          </cell>
          <cell r="K162" t="str">
            <v xml:space="preserve">Sanitation </v>
          </cell>
          <cell r="L162">
            <v>45877</v>
          </cell>
          <cell r="M162">
            <v>46607</v>
          </cell>
          <cell r="P162" t="str">
            <v xml:space="preserve">QCI is conducting sanitation assessments of 169 urban local bodies in the state of Chhatisgarh in accordance with the MoHUA-developed Swachh Survekshan toolkit. The evaluation will consist of on-site verification, desktop evaluation, and on-call validation of various sanitation-related aspects. Assessment will be carried out in four phases. </v>
          </cell>
        </row>
        <row r="163">
          <cell r="E163" t="str">
            <v>PP00288</v>
          </cell>
          <cell r="F163" t="str">
            <v>Income Based</v>
          </cell>
          <cell r="G163" t="str">
            <v>Tender</v>
          </cell>
          <cell r="H163">
            <v>1335121.1864406781</v>
          </cell>
          <cell r="I163" t="str">
            <v>Ongoing</v>
          </cell>
          <cell r="J163" t="str">
            <v>National Institute of Public Cooperation and Child Development (NIPCCD)</v>
          </cell>
          <cell r="K163" t="str">
            <v>Infrastructure</v>
          </cell>
          <cell r="L163">
            <v>45817</v>
          </cell>
          <cell r="M163">
            <v>46180</v>
          </cell>
          <cell r="P163" t="str">
            <v>The scope includes inspection, verification, and quality assessment of materials and workmanship at various stages of the project. This includes review of technical specifications, drawings, and test certificates; random material testing; dimensional and visual checks; validation of contractor bills; and compliance with approved standards, safety norms, and regulatory requirements. There will be deployment of qualified engineering staff on-site for continuous monitoring, submission of regular reports, and identification of discrepancies or deficiencies in civil and electrical works.</v>
          </cell>
        </row>
        <row r="164">
          <cell r="E164" t="str">
            <v>PP00289</v>
          </cell>
          <cell r="F164" t="str">
            <v>Income Based</v>
          </cell>
          <cell r="G164" t="str">
            <v>Tender</v>
          </cell>
          <cell r="H164">
            <v>1279041.3559322036</v>
          </cell>
          <cell r="I164" t="str">
            <v>Ongoing</v>
          </cell>
          <cell r="J164" t="str">
            <v>NBCC</v>
          </cell>
          <cell r="K164" t="str">
            <v>Infrastructure</v>
          </cell>
          <cell r="L164">
            <v>45814</v>
          </cell>
          <cell r="M164">
            <v>46477</v>
          </cell>
          <cell r="P164" t="str">
            <v>The objective of the assignment is to provide an independent and reliable Third-Party Quality Monitoring for the construction of the Judicial Officers Residential Colony (Type V), Multipurpose Hall, and Judicial Staff Quarters (Type II) at Mohkampur, Dehradun, Uttarakhand. The scope includes comprehensive Quality Control and Quality Assurance services for all civil, electrical, mechanical, and allied MEP works. QCI have carry inspection and verification of construction quality, adherence to approved specifications and standards, identification of deviations, and recommendation of corrective actions. QCI will be responsible for technical documentation, monitoring of construction practices, and submission of periodic reports to NBCC to uphold standards of quality and compliance across the project. Subsequently, the inspection report to be submitted to the department. Report will consist of defects and deficiencies in the works and recommendations, if any.</v>
          </cell>
        </row>
        <row r="165">
          <cell r="E165" t="str">
            <v>PP00290</v>
          </cell>
          <cell r="F165" t="str">
            <v>Income Based</v>
          </cell>
          <cell r="G165" t="str">
            <v>Tender</v>
          </cell>
          <cell r="H165">
            <v>3822925.42</v>
          </cell>
          <cell r="I165" t="str">
            <v>Ongoing</v>
          </cell>
          <cell r="J165" t="str">
            <v>NBCC</v>
          </cell>
          <cell r="K165" t="str">
            <v>Infrastructure</v>
          </cell>
          <cell r="L165">
            <v>45832</v>
          </cell>
          <cell r="M165">
            <v>46295</v>
          </cell>
          <cell r="P165" t="str">
            <v>The objective of this engagement is to appoint a Third Party Quality Monitoring Agency (TPQMA) to provide independent quality control, supervision, and structural assurance for the construction of the Boy’s Hostel at Hindu College, University of Delhi. The scope includes comprehensive quality monitoring of all civil, electrical, mechanical, MEP, and allied works to ensure adherence to approved specifications and construction standards throughout the project duration.</v>
          </cell>
        </row>
        <row r="166">
          <cell r="E166" t="str">
            <v>PP00291</v>
          </cell>
          <cell r="F166" t="str">
            <v>Income Based</v>
          </cell>
          <cell r="G166" t="str">
            <v>Nomination</v>
          </cell>
          <cell r="H166">
            <v>680624</v>
          </cell>
          <cell r="I166" t="str">
            <v>Completed</v>
          </cell>
          <cell r="J166" t="str">
            <v>Ministry of Labour &amp; Employment</v>
          </cell>
          <cell r="K166" t="str">
            <v>Social Impact</v>
          </cell>
          <cell r="L166">
            <v>45833</v>
          </cell>
          <cell r="M166">
            <v>45900</v>
          </cell>
          <cell r="N166" t="str">
            <v>NA</v>
          </cell>
          <cell r="O166" t="str">
            <v>NA</v>
          </cell>
          <cell r="P166" t="str">
            <v>To evaluate the impact of these schemes on targeted beneficiaries, sectors, and areas, conduct an output-outcome analysis, and assess implementation gaps by examining alignment with scheme design. Additionally, provide recommendations for improving implementation, continuing the schemes, and expanding their scope to cover additional sectors effectively.</v>
          </cell>
        </row>
        <row r="167">
          <cell r="E167" t="str">
            <v>PP00292</v>
          </cell>
          <cell r="F167" t="str">
            <v>Income Based</v>
          </cell>
          <cell r="G167" t="str">
            <v>Tender</v>
          </cell>
          <cell r="H167">
            <v>2918720.338983051</v>
          </cell>
          <cell r="I167" t="str">
            <v>Ongoing</v>
          </cell>
          <cell r="J167" t="str">
            <v>Ministry of Tribal Affairs</v>
          </cell>
          <cell r="K167" t="str">
            <v>Tribal Affairs</v>
          </cell>
          <cell r="L167">
            <v>45845</v>
          </cell>
          <cell r="M167">
            <v>45903</v>
          </cell>
          <cell r="O167" t="str">
            <v>Draft report submitted on 01-09-2025. Delay in receiving client's comments on the draft report</v>
          </cell>
          <cell r="P167" t="str">
            <v>Evaluate TRI-ECE - a central sector scheme under MoTA and develop recommendations to stregthen the scheme's execution and financial planning</v>
          </cell>
        </row>
        <row r="168">
          <cell r="E168" t="str">
            <v>PP00293</v>
          </cell>
          <cell r="F168" t="str">
            <v>Income Based</v>
          </cell>
          <cell r="G168" t="str">
            <v>Nomination</v>
          </cell>
          <cell r="H168">
            <v>14533635</v>
          </cell>
          <cell r="I168" t="str">
            <v>Ongoing</v>
          </cell>
          <cell r="J168" t="str">
            <v>Ministry of Culture</v>
          </cell>
          <cell r="K168" t="str">
            <v>Arts, Culture &amp; Heritage</v>
          </cell>
          <cell r="L168">
            <v>45862</v>
          </cell>
          <cell r="M168">
            <v>45952</v>
          </cell>
          <cell r="O168" t="str">
            <v>All Draft reports were submitted by 10th November 2025. Awaiting client's comments on the draft report</v>
          </cell>
          <cell r="P168" t="str">
            <v>To evaluate 4 central sector schemes and 2 missions under the Ministry of Culture, and support the ministry in development of 2 new schemes for the upcoming 16th financial commission</v>
          </cell>
        </row>
        <row r="169">
          <cell r="E169" t="str">
            <v>PP00294</v>
          </cell>
          <cell r="F169" t="str">
            <v>Income Based</v>
          </cell>
          <cell r="G169" t="str">
            <v>Tender</v>
          </cell>
          <cell r="H169">
            <v>2105490.677966102</v>
          </cell>
          <cell r="I169" t="str">
            <v>Ongoing</v>
          </cell>
          <cell r="J169" t="str">
            <v>Ministry of Women and Child Development</v>
          </cell>
          <cell r="K169" t="str">
            <v>Infrastructure</v>
          </cell>
          <cell r="L169">
            <v>45866</v>
          </cell>
          <cell r="M169">
            <v>46230</v>
          </cell>
          <cell r="P169" t="str">
            <v>The objective of this engagement is to appoint a Third Party Quality Monitoring Agency (TPQMA) to provide independent quality control, supervision, and structural assurance for the Civil, Electrical and mechanical works. The scope includes comprehensive quality monitoring of all civil, electrical, mechanical, MEP, and allied works to ensure adherence to approved specifications and construction standards throughout the project duration.</v>
          </cell>
        </row>
        <row r="170">
          <cell r="E170" t="str">
            <v>PP00295</v>
          </cell>
          <cell r="F170" t="str">
            <v>Income Based</v>
          </cell>
          <cell r="G170" t="str">
            <v>Nomination</v>
          </cell>
          <cell r="H170">
            <v>4414880</v>
          </cell>
          <cell r="I170" t="str">
            <v>Completed</v>
          </cell>
          <cell r="J170" t="str">
            <v>Ministry of Tourism</v>
          </cell>
          <cell r="K170" t="str">
            <v>Tourism</v>
          </cell>
          <cell r="L170">
            <v>45665</v>
          </cell>
          <cell r="M170">
            <v>45931</v>
          </cell>
          <cell r="P170" t="str">
            <v xml:space="preserve">QCI has been engaged to evaluate the effectiveness, impact, and efficiency of the CBSP training programs under the Ministry of Tourism. This evaluation will measure the extent to which programs have enhanced the skills, service quality, and professionalism of tourism and hospitality stakeholders. </v>
          </cell>
        </row>
        <row r="171">
          <cell r="E171" t="str">
            <v>PP00296</v>
          </cell>
          <cell r="F171" t="str">
            <v>Income Based</v>
          </cell>
          <cell r="G171" t="str">
            <v>Nomination</v>
          </cell>
          <cell r="H171">
            <v>48662512</v>
          </cell>
          <cell r="I171" t="str">
            <v>Ongoing</v>
          </cell>
          <cell r="J171" t="str">
            <v>Bureau of Police Research and Development, MHA</v>
          </cell>
          <cell r="K171" t="str">
            <v>Police Reforms &amp; Public Perception</v>
          </cell>
          <cell r="L171">
            <v>45833</v>
          </cell>
          <cell r="M171">
            <v>46053</v>
          </cell>
          <cell r="N171" t="str">
            <v>NA</v>
          </cell>
          <cell r="O171" t="str">
            <v>NA</v>
          </cell>
          <cell r="P171" t="str">
            <v xml:space="preserve"> - Assess the current status of implementation of the Hon’ble PM’s recommendations for the last three (03) years DGsP/IGsP Conferences (2022-24).
 - Evaluate the effectiveness and impact of implemented recommendations in enhancing policing outcomes, and service delivery mechanism for citizens.
 - Conduct an in-depth review of the recommendations from the past study to examine the progress of course correction suggested through previous study.
 - Examine the key challenges, and capacity-related constraints influencing the implementation process.</v>
          </cell>
        </row>
        <row r="172">
          <cell r="E172" t="str">
            <v>PP00297</v>
          </cell>
          <cell r="F172" t="str">
            <v>Income Based</v>
          </cell>
          <cell r="G172" t="str">
            <v>Tender</v>
          </cell>
          <cell r="H172">
            <v>4182864</v>
          </cell>
          <cell r="I172" t="str">
            <v>Ongoing</v>
          </cell>
          <cell r="J172" t="str">
            <v>Department of Justice</v>
          </cell>
          <cell r="K172" t="str">
            <v>Social Impact</v>
          </cell>
          <cell r="L172">
            <v>45880</v>
          </cell>
          <cell r="M172">
            <v>46066</v>
          </cell>
          <cell r="N172" t="str">
            <v>NA</v>
          </cell>
          <cell r="O172" t="str">
            <v>NA</v>
          </cell>
          <cell r="P172" t="str">
            <v>The scope of work involves conducting a comprehensive evaluation of the DISHA Scheme to assess its effectiveness in promoting legal awareness, accessibility, and empowerment among marginalized communities. It includes analyzing the outreach, implementation mechanisms, and stakeholder engagement across different regions. Additionally, the study will identify challenges, best practices, and provide actionable recommendations for scaling and strengthening the scheme's delivery framework.</v>
          </cell>
        </row>
        <row r="173">
          <cell r="E173" t="str">
            <v>PP00298</v>
          </cell>
          <cell r="F173" t="str">
            <v>Income Based</v>
          </cell>
          <cell r="G173" t="str">
            <v>Tender</v>
          </cell>
          <cell r="H173">
            <v>12938464</v>
          </cell>
          <cell r="I173" t="str">
            <v>Ongoing</v>
          </cell>
          <cell r="J173" t="str">
            <v>Ministry of Ayush</v>
          </cell>
          <cell r="K173" t="str">
            <v>Social Impact</v>
          </cell>
          <cell r="L173">
            <v>45887</v>
          </cell>
          <cell r="M173">
            <v>46145</v>
          </cell>
          <cell r="N173" t="str">
            <v>NA</v>
          </cell>
          <cell r="O173" t="str">
            <v>NA</v>
          </cell>
          <cell r="P173" t="str">
            <v>The scope of the project is to conduct a comprehensive impact and performance evaluation of six Central Sector Schemes implemented by the Ministry of AYUSH. The study aims to assess the effectiveness, relevance, coverage, fund utilization, and outcomes of each scheme, both quantitatively and qualitatively. It involves field surveys, stakeholder consultations, and meta-analysis of official documents, with a focus on identifying implementation challenges, and providing actionable recommendations for continuation, modification, or scaling of the schemes. The evaluation will cover projects across all six geographical zones of India to ensure national representation.</v>
          </cell>
        </row>
        <row r="174">
          <cell r="E174" t="str">
            <v>PP00299</v>
          </cell>
          <cell r="F174" t="str">
            <v>Income Based</v>
          </cell>
          <cell r="G174" t="str">
            <v>Nomination</v>
          </cell>
          <cell r="H174">
            <v>12348060</v>
          </cell>
          <cell r="I174" t="str">
            <v>Ongoing</v>
          </cell>
          <cell r="J174" t="str">
            <v>Department of Animal Husbandry &amp; Dairying (DAHD), Ministry of Fisheries, Animal Husbandry and Dairying, GoI</v>
          </cell>
          <cell r="K174" t="str">
            <v>Livestock Disease Control</v>
          </cell>
          <cell r="L174">
            <v>45888</v>
          </cell>
          <cell r="M174">
            <v>46010</v>
          </cell>
          <cell r="N174" t="str">
            <v>NA</v>
          </cell>
          <cell r="P174" t="str">
            <v>The LHDCP, a Centrally Sponsored Scheme (CSS) aims to mitigate risks to animal health through vaccination, enhanced veterinary services, improved disease surveillance, and better veterinary infrastructure.</v>
          </cell>
        </row>
        <row r="175">
          <cell r="E175" t="str">
            <v>PP00300</v>
          </cell>
          <cell r="F175" t="str">
            <v>Income Based</v>
          </cell>
          <cell r="G175" t="str">
            <v>Tender</v>
          </cell>
          <cell r="H175">
            <v>6912480.9576271195</v>
          </cell>
          <cell r="I175" t="str">
            <v>Ongoing</v>
          </cell>
          <cell r="J175" t="str">
            <v>NBCC</v>
          </cell>
          <cell r="K175" t="str">
            <v>Infrastructure</v>
          </cell>
          <cell r="L175">
            <v>45875</v>
          </cell>
          <cell r="M175">
            <v>46605</v>
          </cell>
          <cell r="P175" t="str">
            <v>The objective of this engagement is to appoint a Third Party Quality Monitoring Agency (TPQMA) to provide independent quality control, supervision, and structural assurance for the Civil, Electrical and mechanical works. The scope includes comprehensive quality monitoring of all civil, electrical, mechanical, MEP, and allied works to ensure adherence to approved specifications and construction standards throughout the project duration.</v>
          </cell>
        </row>
        <row r="176">
          <cell r="E176" t="str">
            <v>PP00301</v>
          </cell>
          <cell r="F176" t="str">
            <v>Income Based</v>
          </cell>
          <cell r="G176" t="str">
            <v>Tender</v>
          </cell>
          <cell r="H176">
            <v>6912480.9576271195</v>
          </cell>
          <cell r="I176" t="str">
            <v>Ongoing</v>
          </cell>
          <cell r="J176" t="str">
            <v>NBCC</v>
          </cell>
          <cell r="K176" t="str">
            <v>Infrastructure</v>
          </cell>
          <cell r="L176">
            <v>45875</v>
          </cell>
          <cell r="M176">
            <v>46605</v>
          </cell>
          <cell r="P176" t="str">
            <v>The objective of this engagement is to appoint a Third Party Quality Monitoring Agency (TPQMA) to provide independent quality control, supervision, and structural assurance for the Civil, Electrical and mechanical works. The scope includes comprehensive quality monitoring of all civil, electrical, mechanical, MEP, and allied works to ensure adherence to approved specifications and construction standards throughout the project duration.</v>
          </cell>
        </row>
        <row r="177">
          <cell r="E177" t="str">
            <v>PP00302</v>
          </cell>
          <cell r="F177" t="str">
            <v>Income Based</v>
          </cell>
          <cell r="G177" t="str">
            <v>Tender</v>
          </cell>
          <cell r="H177">
            <v>5927154</v>
          </cell>
          <cell r="I177" t="str">
            <v>Ongoing</v>
          </cell>
          <cell r="J177" t="str">
            <v>DPIIT</v>
          </cell>
          <cell r="K177" t="str">
            <v>Leather &amp; Footwear</v>
          </cell>
          <cell r="L177">
            <v>45890</v>
          </cell>
          <cell r="M177">
            <v>46013</v>
          </cell>
          <cell r="N177" t="str">
            <v>NA</v>
          </cell>
          <cell r="P177" t="str">
            <v>This scheme aims to develop infrastructure, address environmental concerns, facilitate investments, generate employment, and increase production in Leather, Leather Apparel &amp; Goods, Leather Footwear, Saddlery &amp; Harness, Non-Leather Footwear &amp; Footwear Components.
The IFLADP scheme comprises six sub-schemes:
1.	Integrated Development of Leather Sector (IDLS), 
2.	Sustainable Technology &amp; Environmental Promotion (STEP), 
3.	Mega Leather and Footwear Accessories Cluster Development Programme (MLFACD),
4.	Development of Design Studios, 
5.	Establishment of Institutional Facilities (EIF), and 
6.	Brand Promotion of Indian Brands.</v>
          </cell>
        </row>
        <row r="178">
          <cell r="E178" t="str">
            <v>PP00303</v>
          </cell>
          <cell r="F178" t="str">
            <v>Income Based</v>
          </cell>
          <cell r="G178" t="str">
            <v>Tender</v>
          </cell>
          <cell r="H178">
            <v>43575000</v>
          </cell>
          <cell r="I178" t="str">
            <v>Ongoing</v>
          </cell>
          <cell r="J178" t="str">
            <v>Government of Gujarat</v>
          </cell>
          <cell r="K178" t="str">
            <v xml:space="preserve">Sanitation </v>
          </cell>
          <cell r="L178">
            <v>45894</v>
          </cell>
          <cell r="M178">
            <v>46258</v>
          </cell>
          <cell r="P178" t="str">
            <v xml:space="preserve">QCI is conducting sanitation assessments of 166 urban local bodies in the state of Gujarat in accordance with the MoHUA-developed Swachh Survekshan toolkit. The evaluation will consist of on-site verification, desktop evaluation, and on-call validation of various sanitation-related aspects. Assessment will be carried out in four phases. </v>
          </cell>
        </row>
        <row r="179">
          <cell r="E179" t="str">
            <v>PP00304</v>
          </cell>
          <cell r="F179" t="str">
            <v>Income Based</v>
          </cell>
          <cell r="G179" t="str">
            <v>RFP</v>
          </cell>
          <cell r="H179">
            <v>4212203.5199999996</v>
          </cell>
          <cell r="I179" t="str">
            <v>Completed</v>
          </cell>
          <cell r="J179" t="str">
            <v>Department for Promotion of Industry and Internal Trade</v>
          </cell>
          <cell r="K179" t="str">
            <v>Governance</v>
          </cell>
          <cell r="L179" t="str">
            <v>26/08/2025</v>
          </cell>
          <cell r="M179">
            <v>45940</v>
          </cell>
          <cell r="P179" t="str">
            <v>The Scheme for Investment Promotion (SIP) is a Central Sector scheme launched in November 2008 and currently approved for continuation from FY 2021-22 to 2025-26 with a financial outlay of ₹970 crore. It aims to create an enabling environment for attracting domestic and foreign investments to drive India’s economic growth, in line with the aspirations of becoming a USD 5 trillion economy. comprehensive two-sprint methodology to deliver a robust and actionable impact assessment of the Scheme for Investment Promotion (SIP). This approach integrates stakeholder insights, workflow diagnostics, and strategic solutioning ensuring all Target Groups (TGs) impacted by SIP are systematically analyzed and addressed.</v>
          </cell>
        </row>
        <row r="180">
          <cell r="E180" t="str">
            <v>PP00305</v>
          </cell>
          <cell r="F180" t="str">
            <v>Income Based</v>
          </cell>
          <cell r="G180" t="str">
            <v>Nomination</v>
          </cell>
          <cell r="H180">
            <v>4413528</v>
          </cell>
          <cell r="I180" t="str">
            <v>Completed</v>
          </cell>
          <cell r="J180" t="str">
            <v>Ministry of Tourism</v>
          </cell>
          <cell r="K180" t="str">
            <v>Tourism</v>
          </cell>
          <cell r="L180">
            <v>45666</v>
          </cell>
          <cell r="M180">
            <v>45962</v>
          </cell>
          <cell r="P180" t="str">
            <v>QCI has been engaged to evaluate the effectiveness, impact, and efficiency of the CFA Scheme under the Ministry of Tourism. This evaluation will measure the extent to which the grant has been utilised by the institutes, the operational efficiancy of the institutes and beneifts rececived by the end user i.e. the students.</v>
          </cell>
        </row>
        <row r="181">
          <cell r="E181" t="str">
            <v>PP00306</v>
          </cell>
          <cell r="F181" t="str">
            <v>Income Based</v>
          </cell>
          <cell r="G181" t="str">
            <v>Nomination</v>
          </cell>
          <cell r="H181">
            <v>21926820</v>
          </cell>
          <cell r="I181" t="str">
            <v>Ongoing</v>
          </cell>
          <cell r="J181" t="str">
            <v>MHA</v>
          </cell>
          <cell r="L181">
            <v>45870</v>
          </cell>
          <cell r="M181">
            <v>46052</v>
          </cell>
        </row>
        <row r="182">
          <cell r="E182" t="str">
            <v>PP00307</v>
          </cell>
          <cell r="F182" t="str">
            <v>Income Based</v>
          </cell>
          <cell r="G182" t="str">
            <v>Nomination</v>
          </cell>
          <cell r="H182">
            <v>2681301</v>
          </cell>
          <cell r="I182" t="str">
            <v>Ongoing</v>
          </cell>
          <cell r="J182" t="str">
            <v>Department of Animal Husbandry &amp; Dairying (DAHD), Ministry of Fisheries, Animal Husbandry and Dairying, GoI</v>
          </cell>
          <cell r="K182" t="str">
            <v>Dairy Development</v>
          </cell>
          <cell r="L182">
            <v>45904</v>
          </cell>
          <cell r="M182">
            <v>46022</v>
          </cell>
          <cell r="N182" t="str">
            <v>NA</v>
          </cell>
          <cell r="P182" t="str">
            <v>Objective of the scheme is to assist Cooperative Societies and Farmer Producer Organizations (FPOs) engaged in dairy activities by providing soft working capital loans to help manage crises arising from adverse market conditions or natural calamities.
Objective of the scheme is to evaluate the gaps in implementation if any, qualitative aspects of implementation, and suggest measures for improvement in the future.</v>
          </cell>
        </row>
        <row r="183">
          <cell r="E183" t="str">
            <v>PP00308</v>
          </cell>
          <cell r="F183" t="str">
            <v>Income Based</v>
          </cell>
          <cell r="G183" t="str">
            <v>Tender</v>
          </cell>
          <cell r="H183">
            <v>11065692</v>
          </cell>
          <cell r="I183" t="str">
            <v>Ongoing</v>
          </cell>
          <cell r="J183" t="str">
            <v>Gujarat Pavitra Yatradham Vikas Board</v>
          </cell>
          <cell r="K183" t="str">
            <v>Tourism</v>
          </cell>
          <cell r="L183">
            <v>45931</v>
          </cell>
          <cell r="M183">
            <v>46280</v>
          </cell>
          <cell r="P183" t="str">
            <v>QCI has been engaged to monitor the effeciveness of cleaning work being done by cleaning agency across 5 yatradhams across Gujarat</v>
          </cell>
        </row>
        <row r="184">
          <cell r="E184" t="str">
            <v>PP00309</v>
          </cell>
          <cell r="F184" t="str">
            <v>Income Based</v>
          </cell>
          <cell r="G184" t="str">
            <v>Nomination</v>
          </cell>
          <cell r="H184">
            <v>2128560</v>
          </cell>
          <cell r="I184" t="str">
            <v>Ongoing</v>
          </cell>
          <cell r="J184" t="str">
            <v>Ministry of Tourism</v>
          </cell>
          <cell r="K184" t="str">
            <v>Tourism</v>
          </cell>
          <cell r="L184">
            <v>45922</v>
          </cell>
          <cell r="M184">
            <v>45983</v>
          </cell>
          <cell r="P184" t="str">
            <v>QCI has been engaged to evaluate the effectiveness, impact, and efficiency of the DPPH Scheme under the Ministry of Tourism. This evaluation will measure the extent to which domestic promotions are being done and measuring their impact</v>
          </cell>
        </row>
        <row r="185">
          <cell r="E185" t="str">
            <v>PP00310</v>
          </cell>
          <cell r="F185" t="str">
            <v>Income Based</v>
          </cell>
          <cell r="G185" t="str">
            <v>Nomination</v>
          </cell>
          <cell r="I185" t="str">
            <v>Ongoing</v>
          </cell>
          <cell r="J185" t="str">
            <v>Maharashtra State Power Generation Company</v>
          </cell>
          <cell r="K185" t="str">
            <v>Coal</v>
          </cell>
          <cell r="L185">
            <v>45946</v>
          </cell>
          <cell r="M185">
            <v>46311</v>
          </cell>
          <cell r="P185" t="str">
            <v>QCI has received consent from “Maharashtra State Power Generation Corporation Limited (MAHAGENCO)" for carrying out sampling and analysis of coal at unloading end of Paras &amp; Parli Thermal Power Station</v>
          </cell>
        </row>
        <row r="186">
          <cell r="E186" t="str">
            <v>PP00311</v>
          </cell>
          <cell r="F186" t="str">
            <v>Income Based</v>
          </cell>
          <cell r="G186" t="str">
            <v>Nomination</v>
          </cell>
          <cell r="H186">
            <v>24131184</v>
          </cell>
          <cell r="I186" t="str">
            <v>Ongoing</v>
          </cell>
          <cell r="J186" t="str">
            <v>Bureau of Police Research and Development, MHA</v>
          </cell>
          <cell r="K186" t="str">
            <v>Police Reforms &amp; Public Perception</v>
          </cell>
          <cell r="L186">
            <v>45931</v>
          </cell>
          <cell r="M186">
            <v>46052</v>
          </cell>
          <cell r="P186" t="str">
            <v>In line with the vision of PM to transform policing into a modern, data-driven, and citizen-centric force by 2047, the Bureau of Police Research and Development (BPR&amp;D) has started an initiative to rank 115 cities on key aspects of urban policing. Such as community-centric approach, technology driven approaches</v>
          </cell>
        </row>
        <row r="187">
          <cell r="E187" t="str">
            <v>PP00312</v>
          </cell>
          <cell r="F187" t="str">
            <v>Income Based</v>
          </cell>
          <cell r="G187" t="str">
            <v>Nomination</v>
          </cell>
          <cell r="H187">
            <v>884800</v>
          </cell>
          <cell r="I187" t="str">
            <v>Ongoing</v>
          </cell>
          <cell r="J187" t="str">
            <v>FCI</v>
          </cell>
          <cell r="K187" t="str">
            <v>Food Security, Technology, Support</v>
          </cell>
          <cell r="L187">
            <v>45962</v>
          </cell>
          <cell r="M187">
            <v>46326</v>
          </cell>
          <cell r="P187" t="str">
            <v xml:space="preserve">QCI, in collaboration with the Department of Consumer Affairs and the Food Corporation of India, has developed the Procurement Centre Self-Assessment Platform (PCSAP) to enable procurement centers to assess their maturity levels. In KMS 2024–25, 42,217 procurement centers registered on the platform, with 37,455 completing their self-assessments.
For KMS 2025–26, an enhanced quality management process has been introduced, wherein FCI/State officials will conduct on-ground verification of the self-assessment forms submitted by procurement centers. Additionally, PCSAP has been integrated with the SCAN portal to facilitate fund release by the Government of India, aligned with the maturity levels determined through the platform.
</v>
          </cell>
        </row>
        <row r="188">
          <cell r="E188" t="str">
            <v>PP00313</v>
          </cell>
          <cell r="F188" t="str">
            <v>Income Based</v>
          </cell>
          <cell r="G188" t="str">
            <v>Nomination</v>
          </cell>
          <cell r="H188">
            <v>7795200</v>
          </cell>
          <cell r="I188" t="str">
            <v>Ongoing</v>
          </cell>
          <cell r="J188" t="str">
            <v>MSTC Limited</v>
          </cell>
          <cell r="K188" t="str">
            <v>Technology</v>
          </cell>
          <cell r="L188">
            <v>45961</v>
          </cell>
          <cell r="M188">
            <v>46356</v>
          </cell>
          <cell r="P188" t="str">
            <v xml:space="preserve">•	Facilitate comprehensive management and execution of MSTC Limited’s engagements
•	Deliver expertise across key functional areas to significantly enhance MSTC Limited’s capacity and effectiveness. This includes support in analytics, documentation, stakeholder communication. 
•	In terms of technical assistance, support includes backend development, database management and Web API management including integration and deployment.
•	UI/UX and frontend development and prototyping based on business requirement"   "• Facilitate comprehensive management and execution of MSTC Limited’s engagements
• Deliver expertise across key functional areas to significantly enhance MSTC Limited’s capacity and effectiveness. This includes support in analytics, documentation, stakeholder communication. 
• In terms of technical assistance, support includes backend development, database management and Web API management including integration and deployment.
• UI/UX and frontend development and prototyping based on business requirement""" 
</v>
          </cell>
        </row>
        <row r="189">
          <cell r="E189" t="str">
            <v>PP00314</v>
          </cell>
          <cell r="F189" t="str">
            <v>Income Based</v>
          </cell>
          <cell r="G189" t="str">
            <v>Nomination</v>
          </cell>
          <cell r="H189">
            <v>336000</v>
          </cell>
          <cell r="I189" t="str">
            <v>Ongoing</v>
          </cell>
          <cell r="J189" t="str">
            <v>FCI</v>
          </cell>
          <cell r="K189" t="str">
            <v>Food Security, Technology, Support</v>
          </cell>
          <cell r="L189">
            <v>45931</v>
          </cell>
          <cell r="M189">
            <v>46022</v>
          </cell>
          <cell r="P189" t="str">
            <v>Establish a user-friendly and accessible query/concern redressal system via pcsap.support@qcin.org
to cater to the procurement center in charge, FCI stakeholders and state officials regarding concerns related to the PCSAP.
Ensure efficient tracking and monitoring of queries, leading to timely and effective resolutions.
Enhance overall stakeholder satisfaction by promptly addressing their issues and fostering transparency in the process.</v>
          </cell>
        </row>
        <row r="190">
          <cell r="E190" t="str">
            <v>PP00315</v>
          </cell>
          <cell r="F190" t="str">
            <v>Income Based</v>
          </cell>
          <cell r="G190" t="str">
            <v>Nomination</v>
          </cell>
          <cell r="H190">
            <v>1011024</v>
          </cell>
          <cell r="I190" t="str">
            <v>Ongoing</v>
          </cell>
          <cell r="J190" t="str">
            <v>Department of Land Resources, Ministry of Rural Development</v>
          </cell>
          <cell r="K190" t="str">
            <v>Third Party Assessment</v>
          </cell>
          <cell r="L190">
            <v>45966</v>
          </cell>
          <cell r="M190">
            <v>46006</v>
          </cell>
          <cell r="P190" t="str">
            <v>To conduct the third party assessment of 5 SROs, to check the infrastructure, process and turn around time.</v>
          </cell>
        </row>
        <row r="191">
          <cell r="E191" t="str">
            <v>PP00316</v>
          </cell>
          <cell r="F191" t="str">
            <v>Income Based</v>
          </cell>
          <cell r="G191" t="str">
            <v>Nomination</v>
          </cell>
          <cell r="H191">
            <v>40552627</v>
          </cell>
          <cell r="I191" t="str">
            <v>Ongoing</v>
          </cell>
          <cell r="J191" t="str">
            <v>FSSAI</v>
          </cell>
          <cell r="K191" t="str">
            <v>Food</v>
          </cell>
          <cell r="L191">
            <v>45997</v>
          </cell>
          <cell r="M191">
            <v>46118</v>
          </cell>
          <cell r="P191" t="str">
            <v>Evaluate the compliance of milk and milk products with the standards and regulations set by FSSAI, covering various parameters of safety, quality, and labelling. To identify the key regions with significant levels of adulteration in eight milk and milk products across the selected States and Union Territories.</v>
          </cell>
        </row>
      </sheetData>
      <sheetData sheetId="2"/>
      <sheetData sheetId="3"/>
      <sheetData sheetId="4"/>
      <sheetData sheetId="5"/>
      <sheetData sheetId="6"/>
      <sheetData sheetId="7"/>
      <sheetData sheetId="8"/>
    </sheetDataSet>
  </externalBook>
</externalLink>
</file>

<file path=xl/tables/table1.xml><?xml version="1.0" encoding="utf-8"?>
<table xmlns="http://schemas.openxmlformats.org/spreadsheetml/2006/main" id="1" name="Table1" displayName="Table1" ref="A1:AK330" totalsRowShown="0" headerRowDxfId="100" dataDxfId="99">
  <autoFilter ref="A1:AK330"/>
  <tableColumns count="37">
    <tableColumn id="1" name="S. No." dataDxfId="98"/>
    <tableColumn id="2" name="Project Code" dataDxfId="97"/>
    <tableColumn id="3" name="Project Name" dataDxfId="96"/>
    <tableColumn id="4" name="Vertical" dataDxfId="95"/>
    <tableColumn id="5" name="Project Lead" dataDxfId="94"/>
    <tableColumn id="38" name="SPOC" dataDxfId="93"/>
    <tableColumn id="6" name="Project Status" dataDxfId="92"/>
    <tableColumn id="7" name="Project Start Date (DD/MM/YYYY)" dataDxfId="91"/>
    <tableColumn id="8" name="Project End Date (DD/MM/YYYY)" dataDxfId="90"/>
    <tableColumn id="9" name="Revised End Date (DD/MM/YYYY)" dataDxfId="62">
      <calculatedColumnFormula>VLOOKUP(Table1[[#This Row],[Project Code]],'[6]Combined Nov''25'!$E:$O,10,FALSE)</calculatedColumnFormula>
    </tableColumn>
    <tableColumn id="10" name="Client/Department" dataDxfId="89"/>
    <tableColumn id="34" name="Client/Ministry" dataDxfId="88"/>
    <tableColumn id="35" name="Client Type" dataDxfId="87"/>
    <tableColumn id="11" name="Sector/Domain" dataDxfId="86"/>
    <tableColumn id="12" name="Sub-Domain" dataDxfId="85"/>
    <tableColumn id="13" name="Geographical Coverage" dataDxfId="84"/>
    <tableColumn id="37" name="Nature of Project (TPA/TPE/TPI/TPQA/PMU/PMC/Capacity Building/Impact Assessment)" dataDxfId="83"/>
    <tableColumn id="14" name="Internal Stakeholders" dataDxfId="82"/>
    <tableColumn id="15" name="External Stakeholders" dataDxfId="81"/>
    <tableColumn id="16" name="Project Brief/Objective" dataDxfId="80"/>
    <tableColumn id="18" name="Outcomes achieved/Impact created" dataDxfId="79"/>
    <tableColumn id="20" name="Award Type" dataDxfId="78"/>
    <tableColumn id="39" name="Work Order Value" dataDxfId="77"/>
    <tableColumn id="21" name="Proposal" dataDxfId="76"/>
    <tableColumn id="22" name="Project Charter" dataDxfId="75"/>
    <tableColumn id="23" name="Financial Charter" dataDxfId="74"/>
    <tableColumn id="24" name="Bid Filing Documents" dataDxfId="73"/>
    <tableColumn id="25" name="Project Code Generation Requisition Form" dataDxfId="72"/>
    <tableColumn id="26" name="Work Order" dataDxfId="71"/>
    <tableColumn id="17" name="Work orders issued to external stakeholders (if any)" dataDxfId="70"/>
    <tableColumn id="27" name="Work Order Extension" dataDxfId="69"/>
    <tableColumn id="28" name="Revised Financial Charter" dataDxfId="68"/>
    <tableColumn id="29" name="Final Report" dataDxfId="67"/>
    <tableColumn id="30" name="Completion Certificate" dataDxfId="66"/>
    <tableColumn id="31" name="Invoices" dataDxfId="65"/>
    <tableColumn id="32" name="NOC from Finance Department" dataDxfId="64"/>
    <tableColumn id="33" name="Project Closure Report" dataDxfId="63"/>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48"/>
  <sheetViews>
    <sheetView tabSelected="1" zoomScale="80" zoomScaleNormal="124" workbookViewId="0">
      <pane xSplit="3" ySplit="1" topLeftCell="O2" activePane="bottomRight" state="frozen"/>
      <selection pane="topRight" activeCell="D1" sqref="D1"/>
      <selection pane="bottomLeft" activeCell="A2" sqref="A2"/>
      <selection pane="bottomRight" activeCell="P11" sqref="P11"/>
    </sheetView>
  </sheetViews>
  <sheetFormatPr defaultColWidth="9.140625" defaultRowHeight="30" customHeight="1" x14ac:dyDescent="0.25"/>
  <cols>
    <col min="1" max="1" width="10.7109375" style="1" bestFit="1" customWidth="1"/>
    <col min="2" max="2" width="17" style="2" customWidth="1"/>
    <col min="3" max="3" width="54.28515625" style="1" customWidth="1"/>
    <col min="4" max="4" width="13.140625" style="1" customWidth="1"/>
    <col min="5" max="5" width="31.28515625" style="1" bestFit="1" customWidth="1"/>
    <col min="6" max="6" width="15.28515625" style="1" hidden="1" customWidth="1"/>
    <col min="7" max="7" width="32.28515625" style="1" bestFit="1" customWidth="1"/>
    <col min="8" max="8" width="19.85546875" style="3" customWidth="1"/>
    <col min="9" max="9" width="20.42578125" style="1" customWidth="1"/>
    <col min="10" max="10" width="28.85546875" style="1" bestFit="1" customWidth="1"/>
    <col min="11" max="11" width="62" style="74" bestFit="1" customWidth="1"/>
    <col min="12" max="12" width="30.7109375" style="74" customWidth="1"/>
    <col min="13" max="13" width="27.7109375" style="78" bestFit="1" customWidth="1"/>
    <col min="14" max="14" width="32.7109375" style="78" customWidth="1"/>
    <col min="15" max="15" width="42.28515625" style="78" customWidth="1"/>
    <col min="16" max="16" width="25.85546875" style="78" customWidth="1"/>
    <col min="17" max="17" width="83.28515625" style="1" bestFit="1" customWidth="1"/>
    <col min="18" max="18" width="33.28515625" style="1" bestFit="1" customWidth="1"/>
    <col min="19" max="19" width="49.85546875" style="1" bestFit="1" customWidth="1"/>
    <col min="20" max="20" width="79" style="2" customWidth="1"/>
    <col min="21" max="21" width="83.85546875" style="1" customWidth="1"/>
    <col min="22" max="22" width="16" style="1" bestFit="1" customWidth="1"/>
    <col min="23" max="23" width="71.28515625" style="1" bestFit="1" customWidth="1"/>
    <col min="24" max="24" width="13.28515625" style="1" bestFit="1" customWidth="1"/>
    <col min="25" max="25" width="19" style="1" bestFit="1" customWidth="1"/>
    <col min="26" max="26" width="20.5703125" style="1" bestFit="1" customWidth="1"/>
    <col min="27" max="27" width="24.42578125" style="1" bestFit="1" customWidth="1"/>
    <col min="28" max="28" width="44" style="1" bestFit="1" customWidth="1"/>
    <col min="29" max="29" width="16" style="1" bestFit="1" customWidth="1"/>
    <col min="30" max="30" width="52.7109375" style="1" bestFit="1" customWidth="1"/>
    <col min="31" max="31" width="25.42578125" style="1" bestFit="1" customWidth="1"/>
    <col min="32" max="32" width="28.28515625" style="1" bestFit="1" customWidth="1"/>
    <col min="33" max="33" width="16.28515625" style="1" bestFit="1" customWidth="1"/>
    <col min="34" max="34" width="26.140625" style="1" bestFit="1" customWidth="1"/>
    <col min="35" max="35" width="12.85546875" style="1" bestFit="1" customWidth="1"/>
    <col min="36" max="36" width="33.28515625" style="1" bestFit="1" customWidth="1"/>
    <col min="37" max="37" width="25.7109375" style="1" bestFit="1" customWidth="1"/>
    <col min="38" max="16384" width="9.140625" style="1"/>
  </cols>
  <sheetData>
    <row r="1" spans="1:37" s="53" customFormat="1" ht="30" customHeight="1" x14ac:dyDescent="0.25">
      <c r="A1" s="53" t="s">
        <v>23</v>
      </c>
      <c r="B1" s="53" t="s">
        <v>3</v>
      </c>
      <c r="C1" s="55" t="s">
        <v>2</v>
      </c>
      <c r="D1" s="53" t="s">
        <v>0</v>
      </c>
      <c r="E1" s="53" t="s">
        <v>1</v>
      </c>
      <c r="F1" s="53" t="s">
        <v>13</v>
      </c>
      <c r="G1" s="53" t="s">
        <v>6</v>
      </c>
      <c r="H1" s="54" t="s">
        <v>7</v>
      </c>
      <c r="I1" s="53" t="s">
        <v>8</v>
      </c>
      <c r="J1" s="53" t="s">
        <v>9</v>
      </c>
      <c r="K1" s="68" t="s">
        <v>668</v>
      </c>
      <c r="L1" s="68" t="s">
        <v>669</v>
      </c>
      <c r="M1" s="68" t="s">
        <v>842</v>
      </c>
      <c r="N1" s="68" t="s">
        <v>4</v>
      </c>
      <c r="O1" s="68" t="s">
        <v>5</v>
      </c>
      <c r="P1" s="68" t="s">
        <v>29</v>
      </c>
      <c r="Q1" s="53" t="s">
        <v>11</v>
      </c>
      <c r="R1" s="53" t="s">
        <v>30</v>
      </c>
      <c r="S1" s="53" t="s">
        <v>31</v>
      </c>
      <c r="T1" s="53" t="s">
        <v>10</v>
      </c>
      <c r="U1" s="53" t="s">
        <v>12</v>
      </c>
      <c r="V1" s="53" t="s">
        <v>19</v>
      </c>
      <c r="W1" s="53" t="s">
        <v>1056</v>
      </c>
      <c r="X1" s="53" t="s">
        <v>14</v>
      </c>
      <c r="Y1" s="53" t="s">
        <v>15</v>
      </c>
      <c r="Z1" s="53" t="s">
        <v>16</v>
      </c>
      <c r="AA1" s="53" t="s">
        <v>17</v>
      </c>
      <c r="AB1" s="53" t="s">
        <v>24</v>
      </c>
      <c r="AC1" s="53" t="s">
        <v>18</v>
      </c>
      <c r="AD1" s="53" t="s">
        <v>1488</v>
      </c>
      <c r="AE1" s="55" t="s">
        <v>20</v>
      </c>
      <c r="AF1" s="53" t="s">
        <v>25</v>
      </c>
      <c r="AG1" s="53" t="s">
        <v>26</v>
      </c>
      <c r="AH1" s="53" t="s">
        <v>21</v>
      </c>
      <c r="AI1" s="55" t="s">
        <v>22</v>
      </c>
      <c r="AJ1" s="53" t="s">
        <v>27</v>
      </c>
      <c r="AK1" s="53" t="s">
        <v>28</v>
      </c>
    </row>
    <row r="2" spans="1:37" s="56" customFormat="1" ht="30" customHeight="1" x14ac:dyDescent="0.25">
      <c r="A2" s="56">
        <v>1</v>
      </c>
      <c r="B2" s="57" t="s">
        <v>32</v>
      </c>
      <c r="C2" s="57" t="s">
        <v>324</v>
      </c>
      <c r="H2" s="58"/>
      <c r="I2" s="59"/>
      <c r="J2" s="56" t="e">
        <f>VLOOKUP(Table1[[#This Row],[Project Code]],'[6]Combined Nov''25'!$E:$O,10,FALSE)</f>
        <v>#N/A</v>
      </c>
      <c r="K2" s="69" t="e">
        <f>VLOOKUP(Table1[[#This Row],[Project Code]],'[6]Combined Nov''25'!$E:$K,6,FALSE)</f>
        <v>#N/A</v>
      </c>
      <c r="L2" s="57"/>
      <c r="M2" s="56" t="s">
        <v>843</v>
      </c>
      <c r="N2" s="73" t="e">
        <f>VLOOKUP(Table1[[#This Row],[Project Code]],'[6]Combined Nov''25'!$E:$K,7,FALSE)</f>
        <v>#N/A</v>
      </c>
      <c r="O2" s="57" t="s">
        <v>855</v>
      </c>
      <c r="P2" s="56" t="s">
        <v>864</v>
      </c>
      <c r="Q2" s="57" t="s">
        <v>855</v>
      </c>
      <c r="T2" s="57" t="e">
        <f>VLOOKUP(Table1[[#This Row],[Project Code]],'[6]Combined Nov''25'!$E:$P,12,FALSE)</f>
        <v>#N/A</v>
      </c>
      <c r="U2" s="57" t="e">
        <v>#N/A</v>
      </c>
      <c r="V2" s="56" t="e">
        <v>#N/A</v>
      </c>
      <c r="W2" s="60" t="e">
        <v>#N/A</v>
      </c>
      <c r="X2" s="56" t="s">
        <v>1489</v>
      </c>
      <c r="Y2" s="56" t="s">
        <v>1489</v>
      </c>
      <c r="Z2" s="56" t="s">
        <v>1490</v>
      </c>
      <c r="AA2" s="56" t="s">
        <v>1490</v>
      </c>
      <c r="AB2" s="56" t="s">
        <v>1490</v>
      </c>
      <c r="AC2" s="56" t="s">
        <v>1490</v>
      </c>
      <c r="AD2" s="56" t="s">
        <v>1490</v>
      </c>
      <c r="AE2" s="56" t="s">
        <v>1490</v>
      </c>
      <c r="AF2" s="56" t="s">
        <v>1490</v>
      </c>
      <c r="AG2" s="56" t="s">
        <v>1490</v>
      </c>
      <c r="AH2" s="56" t="s">
        <v>1490</v>
      </c>
      <c r="AI2" s="56" t="s">
        <v>1490</v>
      </c>
      <c r="AJ2" s="56" t="s">
        <v>1490</v>
      </c>
      <c r="AK2" s="56" t="s">
        <v>1490</v>
      </c>
    </row>
    <row r="3" spans="1:37" s="56" customFormat="1" ht="30" customHeight="1" x14ac:dyDescent="0.25">
      <c r="A3" s="56">
        <v>2</v>
      </c>
      <c r="B3" s="57" t="s">
        <v>33</v>
      </c>
      <c r="C3" s="57" t="s">
        <v>325</v>
      </c>
      <c r="H3" s="58"/>
      <c r="I3" s="59"/>
      <c r="J3" s="56" t="e">
        <f>VLOOKUP(Table1[[#This Row],[Project Code]],'[6]Combined Nov''25'!$E:$O,10,FALSE)</f>
        <v>#N/A</v>
      </c>
      <c r="K3" s="57" t="s">
        <v>691</v>
      </c>
      <c r="L3" s="57" t="s">
        <v>766</v>
      </c>
      <c r="M3" s="56" t="s">
        <v>843</v>
      </c>
      <c r="N3" s="73" t="e">
        <f>VLOOKUP(Table1[[#This Row],[Project Code]],'[6]Combined Nov''25'!$E:$K,7,FALSE)</f>
        <v>#N/A</v>
      </c>
      <c r="O3" s="57" t="s">
        <v>856</v>
      </c>
      <c r="P3" s="56" t="s">
        <v>864</v>
      </c>
      <c r="Q3" s="57" t="s">
        <v>886</v>
      </c>
      <c r="T3" s="57" t="e">
        <f>VLOOKUP(Table1[[#This Row],[Project Code]],'[6]Combined Nov''25'!$E:$P,12,FALSE)</f>
        <v>#N/A</v>
      </c>
      <c r="U3" s="57" t="e">
        <v>#N/A</v>
      </c>
      <c r="V3" s="56" t="e">
        <v>#N/A</v>
      </c>
      <c r="W3" s="60" t="e">
        <v>#N/A</v>
      </c>
      <c r="X3" s="56" t="s">
        <v>1489</v>
      </c>
      <c r="Y3" s="56" t="s">
        <v>1491</v>
      </c>
      <c r="Z3" s="56" t="s">
        <v>1491</v>
      </c>
      <c r="AA3" s="56" t="s">
        <v>1490</v>
      </c>
      <c r="AB3" s="56" t="s">
        <v>1490</v>
      </c>
      <c r="AC3" s="56" t="s">
        <v>1491</v>
      </c>
      <c r="AD3" s="56" t="s">
        <v>1490</v>
      </c>
      <c r="AE3" s="56" t="s">
        <v>1490</v>
      </c>
      <c r="AF3" s="56" t="s">
        <v>1490</v>
      </c>
      <c r="AG3" s="56" t="s">
        <v>1490</v>
      </c>
      <c r="AH3" s="56" t="s">
        <v>1490</v>
      </c>
      <c r="AI3" s="56" t="s">
        <v>1490</v>
      </c>
      <c r="AJ3" s="56" t="s">
        <v>1490</v>
      </c>
      <c r="AK3" s="56" t="s">
        <v>1490</v>
      </c>
    </row>
    <row r="4" spans="1:37" s="56" customFormat="1" ht="30" customHeight="1" x14ac:dyDescent="0.25">
      <c r="A4" s="56">
        <v>3</v>
      </c>
      <c r="B4" s="57" t="s">
        <v>34</v>
      </c>
      <c r="C4" s="57" t="s">
        <v>326</v>
      </c>
      <c r="H4" s="58"/>
      <c r="I4" s="59"/>
      <c r="J4" s="56" t="e">
        <f>VLOOKUP(Table1[[#This Row],[Project Code]],'[6]Combined Nov''25'!$E:$O,10,FALSE)</f>
        <v>#N/A</v>
      </c>
      <c r="K4" s="69" t="e">
        <f>VLOOKUP(Table1[[#This Row],[Project Code]],'[6]Combined Nov''25'!$E:$K,6,FALSE)</f>
        <v>#N/A</v>
      </c>
      <c r="L4" s="57"/>
      <c r="M4" s="56" t="s">
        <v>843</v>
      </c>
      <c r="N4" s="73" t="e">
        <f>VLOOKUP(Table1[[#This Row],[Project Code]],'[6]Combined Nov''25'!$E:$K,7,FALSE)</f>
        <v>#N/A</v>
      </c>
      <c r="O4" s="57" t="s">
        <v>855</v>
      </c>
      <c r="P4" s="56" t="s">
        <v>864</v>
      </c>
      <c r="Q4" s="57" t="s">
        <v>855</v>
      </c>
      <c r="T4" s="57" t="e">
        <f>VLOOKUP(Table1[[#This Row],[Project Code]],'[6]Combined Nov''25'!$E:$P,12,FALSE)</f>
        <v>#N/A</v>
      </c>
      <c r="U4" s="57" t="e">
        <v>#N/A</v>
      </c>
      <c r="V4" s="56" t="e">
        <v>#N/A</v>
      </c>
      <c r="W4" s="60" t="e">
        <v>#N/A</v>
      </c>
      <c r="X4" s="56" t="s">
        <v>1489</v>
      </c>
      <c r="Y4" s="56" t="s">
        <v>1489</v>
      </c>
      <c r="Z4" s="56" t="s">
        <v>1490</v>
      </c>
      <c r="AA4" s="56" t="s">
        <v>1490</v>
      </c>
      <c r="AB4" s="56" t="s">
        <v>1490</v>
      </c>
      <c r="AC4" s="56" t="s">
        <v>1490</v>
      </c>
      <c r="AD4" s="56" t="s">
        <v>1490</v>
      </c>
      <c r="AE4" s="56" t="s">
        <v>1490</v>
      </c>
      <c r="AF4" s="56" t="s">
        <v>1490</v>
      </c>
      <c r="AG4" s="56" t="s">
        <v>1490</v>
      </c>
      <c r="AH4" s="56" t="s">
        <v>1490</v>
      </c>
      <c r="AI4" s="56" t="s">
        <v>1490</v>
      </c>
      <c r="AJ4" s="56" t="s">
        <v>1490</v>
      </c>
      <c r="AK4" s="56" t="s">
        <v>1490</v>
      </c>
    </row>
    <row r="5" spans="1:37" s="56" customFormat="1" ht="30" customHeight="1" x14ac:dyDescent="0.25">
      <c r="A5" s="56">
        <v>4</v>
      </c>
      <c r="B5" s="57" t="s">
        <v>35</v>
      </c>
      <c r="C5" s="57" t="s">
        <v>327</v>
      </c>
      <c r="H5" s="58"/>
      <c r="I5" s="59"/>
      <c r="J5" s="56" t="e">
        <f>VLOOKUP(Table1[[#This Row],[Project Code]],'[6]Combined Nov''25'!$E:$O,10,FALSE)</f>
        <v>#N/A</v>
      </c>
      <c r="K5" s="57" t="s">
        <v>670</v>
      </c>
      <c r="L5" s="57" t="s">
        <v>767</v>
      </c>
      <c r="M5" s="56">
        <v>0</v>
      </c>
      <c r="N5" s="73" t="e">
        <f>VLOOKUP(Table1[[#This Row],[Project Code]],'[6]Combined Nov''25'!$E:$K,7,FALSE)</f>
        <v>#N/A</v>
      </c>
      <c r="O5" s="57" t="s">
        <v>857</v>
      </c>
      <c r="P5" s="56" t="s">
        <v>865</v>
      </c>
      <c r="Q5" s="57" t="s">
        <v>887</v>
      </c>
      <c r="T5" s="57" t="e">
        <f>VLOOKUP(Table1[[#This Row],[Project Code]],'[6]Combined Nov''25'!$E:$P,12,FALSE)</f>
        <v>#N/A</v>
      </c>
      <c r="U5" s="57" t="e">
        <v>#N/A</v>
      </c>
      <c r="V5" s="56" t="e">
        <v>#N/A</v>
      </c>
      <c r="W5" s="60" t="e">
        <v>#N/A</v>
      </c>
      <c r="X5" s="56" t="s">
        <v>1489</v>
      </c>
      <c r="Y5" s="56" t="s">
        <v>1489</v>
      </c>
      <c r="Z5" s="56" t="s">
        <v>1489</v>
      </c>
      <c r="AA5" s="56" t="s">
        <v>1489</v>
      </c>
      <c r="AB5" s="56" t="s">
        <v>1489</v>
      </c>
      <c r="AC5" s="56" t="s">
        <v>1489</v>
      </c>
      <c r="AD5" s="56" t="s">
        <v>1489</v>
      </c>
      <c r="AE5" s="56" t="s">
        <v>1489</v>
      </c>
      <c r="AF5" s="56" t="s">
        <v>1489</v>
      </c>
      <c r="AG5" s="56" t="s">
        <v>1489</v>
      </c>
      <c r="AH5" s="56" t="s">
        <v>1489</v>
      </c>
      <c r="AI5" s="56" t="s">
        <v>1489</v>
      </c>
      <c r="AJ5" s="56" t="s">
        <v>1489</v>
      </c>
      <c r="AK5" s="56" t="s">
        <v>1489</v>
      </c>
    </row>
    <row r="6" spans="1:37" s="56" customFormat="1" ht="30" customHeight="1" x14ac:dyDescent="0.25">
      <c r="A6" s="56">
        <v>5</v>
      </c>
      <c r="B6" s="57" t="s">
        <v>36</v>
      </c>
      <c r="C6" s="57" t="s">
        <v>328</v>
      </c>
      <c r="H6" s="58"/>
      <c r="I6" s="59"/>
      <c r="J6" s="56" t="e">
        <f>VLOOKUP(Table1[[#This Row],[Project Code]],'[6]Combined Nov''25'!$E:$O,10,FALSE)</f>
        <v>#N/A</v>
      </c>
      <c r="K6" s="69" t="e">
        <f>VLOOKUP(Table1[[#This Row],[Project Code]],'[6]Combined Nov''25'!$E:$K,6,FALSE)</f>
        <v>#N/A</v>
      </c>
      <c r="L6" s="57"/>
      <c r="M6" s="56">
        <v>0</v>
      </c>
      <c r="N6" s="73" t="e">
        <f>VLOOKUP(Table1[[#This Row],[Project Code]],'[6]Combined Nov''25'!$E:$K,7,FALSE)</f>
        <v>#N/A</v>
      </c>
      <c r="O6" s="57" t="s">
        <v>858</v>
      </c>
      <c r="P6" s="56" t="s">
        <v>864</v>
      </c>
      <c r="Q6" s="57" t="s">
        <v>886</v>
      </c>
      <c r="T6" s="57" t="e">
        <f>VLOOKUP(Table1[[#This Row],[Project Code]],'[6]Combined Nov''25'!$E:$P,12,FALSE)</f>
        <v>#N/A</v>
      </c>
      <c r="U6" s="57" t="e">
        <v>#N/A</v>
      </c>
      <c r="V6" s="56" t="e">
        <v>#N/A</v>
      </c>
      <c r="W6" s="60" t="e">
        <v>#N/A</v>
      </c>
      <c r="X6" s="56" t="s">
        <v>1490</v>
      </c>
      <c r="Y6" s="56" t="s">
        <v>1489</v>
      </c>
      <c r="Z6" s="56" t="s">
        <v>1489</v>
      </c>
      <c r="AA6" s="56" t="s">
        <v>1489</v>
      </c>
      <c r="AB6" s="56" t="s">
        <v>1489</v>
      </c>
      <c r="AC6" s="56" t="s">
        <v>1489</v>
      </c>
      <c r="AD6" s="56" t="s">
        <v>1489</v>
      </c>
      <c r="AE6" s="56" t="s">
        <v>1489</v>
      </c>
      <c r="AF6" s="56" t="s">
        <v>1489</v>
      </c>
      <c r="AG6" s="56" t="s">
        <v>1489</v>
      </c>
      <c r="AH6" s="56" t="s">
        <v>1489</v>
      </c>
      <c r="AI6" s="56" t="s">
        <v>1489</v>
      </c>
      <c r="AJ6" s="56" t="s">
        <v>1489</v>
      </c>
      <c r="AK6" s="56" t="s">
        <v>1489</v>
      </c>
    </row>
    <row r="7" spans="1:37" s="56" customFormat="1" ht="30" customHeight="1" x14ac:dyDescent="0.25">
      <c r="A7" s="56">
        <v>6</v>
      </c>
      <c r="B7" s="57" t="s">
        <v>37</v>
      </c>
      <c r="C7" s="57" t="s">
        <v>329</v>
      </c>
      <c r="D7" s="56" t="s">
        <v>615</v>
      </c>
      <c r="E7" s="56" t="s">
        <v>624</v>
      </c>
      <c r="G7" s="56" t="str">
        <f>VLOOKUP(Table1[[#This Row],[Project Code]],[1]Combined!$E:$I,5,FALSE)</f>
        <v>Ongoing</v>
      </c>
      <c r="H7" s="58">
        <f>VLOOKUP(Table1[[#This Row],[Project Code]],'[2]Combined '!$E:$N,8,FALSE)</f>
        <v>45075</v>
      </c>
      <c r="I7" s="59"/>
      <c r="K7" s="69" t="s">
        <v>671</v>
      </c>
      <c r="L7" s="69" t="s">
        <v>768</v>
      </c>
      <c r="M7" s="73" t="s">
        <v>844</v>
      </c>
      <c r="N7" s="73" t="s">
        <v>889</v>
      </c>
      <c r="O7" s="69" t="s">
        <v>859</v>
      </c>
      <c r="P7" s="73" t="s">
        <v>866</v>
      </c>
      <c r="Q7" s="57" t="s">
        <v>855</v>
      </c>
      <c r="T7" s="57" t="s">
        <v>938</v>
      </c>
      <c r="U7" s="57" t="s">
        <v>1098</v>
      </c>
      <c r="V7" s="56">
        <v>0</v>
      </c>
      <c r="W7" s="60" t="s">
        <v>1059</v>
      </c>
      <c r="X7" s="56" t="s">
        <v>1491</v>
      </c>
      <c r="Z7" s="56" t="s">
        <v>1491</v>
      </c>
      <c r="AA7" s="56" t="s">
        <v>1490</v>
      </c>
      <c r="AB7" s="56" t="s">
        <v>1490</v>
      </c>
      <c r="AC7" s="56" t="s">
        <v>1491</v>
      </c>
      <c r="AD7" s="56" t="s">
        <v>1490</v>
      </c>
      <c r="AE7" s="56" t="s">
        <v>1490</v>
      </c>
      <c r="AF7" s="56" t="s">
        <v>1490</v>
      </c>
      <c r="AG7" s="56" t="s">
        <v>1490</v>
      </c>
      <c r="AH7" s="56" t="s">
        <v>1490</v>
      </c>
      <c r="AI7" s="56" t="s">
        <v>1490</v>
      </c>
      <c r="AJ7" s="56" t="s">
        <v>1490</v>
      </c>
      <c r="AK7" s="56" t="s">
        <v>1490</v>
      </c>
    </row>
    <row r="8" spans="1:37" s="56" customFormat="1" ht="30" customHeight="1" x14ac:dyDescent="0.25">
      <c r="A8" s="56">
        <v>7</v>
      </c>
      <c r="B8" s="57" t="s">
        <v>38</v>
      </c>
      <c r="C8" s="57" t="s">
        <v>330</v>
      </c>
      <c r="H8" s="58"/>
      <c r="I8" s="59"/>
      <c r="J8" s="56" t="e">
        <f>VLOOKUP(Table1[[#This Row],[Project Code]],'[6]Combined Nov''25'!$E:$O,10,FALSE)</f>
        <v>#N/A</v>
      </c>
      <c r="K8" s="69" t="e">
        <f>VLOOKUP(Table1[[#This Row],[Project Code]],'[6]Combined Nov''25'!$E:$K,6,FALSE)</f>
        <v>#N/A</v>
      </c>
      <c r="L8" s="57"/>
      <c r="M8" s="56">
        <v>0</v>
      </c>
      <c r="N8" s="73" t="e">
        <f>VLOOKUP(Table1[[#This Row],[Project Code]],'[6]Combined Nov''25'!$E:$K,7,FALSE)</f>
        <v>#N/A</v>
      </c>
      <c r="O8" s="57" t="s">
        <v>860</v>
      </c>
      <c r="P8" s="56" t="s">
        <v>864</v>
      </c>
      <c r="Q8" s="57" t="s">
        <v>887</v>
      </c>
      <c r="T8" s="57" t="e">
        <f>VLOOKUP(Table1[[#This Row],[Project Code]],'[6]Combined Nov''25'!$E:$P,12,FALSE)</f>
        <v>#N/A</v>
      </c>
      <c r="U8" s="57" t="e">
        <v>#N/A</v>
      </c>
      <c r="V8" s="56" t="e">
        <v>#N/A</v>
      </c>
      <c r="W8" s="60" t="e">
        <v>#N/A</v>
      </c>
      <c r="X8" s="56" t="s">
        <v>1490</v>
      </c>
      <c r="Z8" s="56" t="s">
        <v>1491</v>
      </c>
      <c r="AA8" s="56" t="s">
        <v>1490</v>
      </c>
      <c r="AB8" s="56" t="s">
        <v>1491</v>
      </c>
      <c r="AC8" s="56" t="s">
        <v>1491</v>
      </c>
      <c r="AD8" s="56" t="s">
        <v>1490</v>
      </c>
      <c r="AE8" s="56" t="s">
        <v>1490</v>
      </c>
      <c r="AF8" s="56" t="s">
        <v>1490</v>
      </c>
      <c r="AG8" s="56" t="s">
        <v>1490</v>
      </c>
      <c r="AH8" s="56" t="s">
        <v>1490</v>
      </c>
      <c r="AI8" s="56" t="s">
        <v>1490</v>
      </c>
      <c r="AJ8" s="56" t="s">
        <v>1490</v>
      </c>
      <c r="AK8" s="56" t="s">
        <v>1490</v>
      </c>
    </row>
    <row r="9" spans="1:37" s="56" customFormat="1" ht="30" customHeight="1" x14ac:dyDescent="0.25">
      <c r="A9" s="56">
        <v>8</v>
      </c>
      <c r="B9" s="57" t="s">
        <v>39</v>
      </c>
      <c r="C9" s="57" t="s">
        <v>331</v>
      </c>
      <c r="D9" s="56" t="s">
        <v>616</v>
      </c>
      <c r="E9" s="56" t="s">
        <v>625</v>
      </c>
      <c r="G9" s="56" t="s">
        <v>1492</v>
      </c>
      <c r="H9" s="58">
        <f>VLOOKUP(Table1[[#This Row],[Project Code]],'[2]Combined '!$E:$N,8,FALSE)</f>
        <v>45087</v>
      </c>
      <c r="I9" s="59"/>
      <c r="K9" s="57" t="s">
        <v>672</v>
      </c>
      <c r="L9" s="57" t="s">
        <v>769</v>
      </c>
      <c r="M9" s="56" t="s">
        <v>769</v>
      </c>
      <c r="N9" s="56" t="s">
        <v>890</v>
      </c>
      <c r="O9" s="57" t="s">
        <v>861</v>
      </c>
      <c r="P9" s="56" t="s">
        <v>867</v>
      </c>
      <c r="Q9" s="57" t="s">
        <v>887</v>
      </c>
      <c r="T9" s="57" t="s">
        <v>939</v>
      </c>
      <c r="U9" s="57" t="s">
        <v>1099</v>
      </c>
      <c r="V9" s="56" t="s">
        <v>1057</v>
      </c>
      <c r="W9" s="60"/>
      <c r="X9" s="56" t="s">
        <v>1491</v>
      </c>
      <c r="Y9" s="56" t="s">
        <v>1490</v>
      </c>
      <c r="Z9" s="56" t="s">
        <v>1490</v>
      </c>
      <c r="AA9" s="56" t="s">
        <v>1490</v>
      </c>
      <c r="AB9" s="56" t="s">
        <v>1490</v>
      </c>
      <c r="AC9" s="56" t="s">
        <v>1491</v>
      </c>
      <c r="AD9" s="56" t="s">
        <v>1490</v>
      </c>
      <c r="AE9" s="56" t="s">
        <v>1490</v>
      </c>
      <c r="AF9" s="56" t="s">
        <v>1490</v>
      </c>
      <c r="AG9" s="56" t="s">
        <v>1490</v>
      </c>
      <c r="AH9" s="56" t="s">
        <v>1490</v>
      </c>
      <c r="AI9" s="56" t="s">
        <v>1490</v>
      </c>
      <c r="AJ9" s="56" t="s">
        <v>1490</v>
      </c>
      <c r="AK9" s="56" t="s">
        <v>1490</v>
      </c>
    </row>
    <row r="10" spans="1:37" s="56" customFormat="1" ht="30" customHeight="1" x14ac:dyDescent="0.25">
      <c r="A10" s="56">
        <v>9</v>
      </c>
      <c r="B10" s="57" t="s">
        <v>40</v>
      </c>
      <c r="C10" s="57" t="s">
        <v>332</v>
      </c>
      <c r="D10" s="56" t="s">
        <v>617</v>
      </c>
      <c r="E10" s="56" t="s">
        <v>626</v>
      </c>
      <c r="G10" s="56" t="s">
        <v>1492</v>
      </c>
      <c r="H10" s="58">
        <f>VLOOKUP(Table1[[#This Row],[Project Code]],'[2]Combined '!$E:$N,8,FALSE)</f>
        <v>45055</v>
      </c>
      <c r="I10" s="59"/>
      <c r="K10" s="69" t="str">
        <f>VLOOKUP(Table1[[#This Row],[Project Code]],'[6]Combined Nov''25'!$E:$K,6,FALSE)</f>
        <v>DFPD</v>
      </c>
      <c r="L10" s="57" t="s">
        <v>770</v>
      </c>
      <c r="M10" s="56" t="s">
        <v>843</v>
      </c>
      <c r="N10" s="56" t="s">
        <v>891</v>
      </c>
      <c r="O10" s="57" t="s">
        <v>860</v>
      </c>
      <c r="P10" s="56" t="s">
        <v>864</v>
      </c>
      <c r="Q10" s="57" t="s">
        <v>887</v>
      </c>
      <c r="T10" s="57" t="s">
        <v>940</v>
      </c>
      <c r="U10" s="57" t="s">
        <v>1100</v>
      </c>
      <c r="V10" s="56" t="s">
        <v>1057</v>
      </c>
      <c r="W10" s="60"/>
      <c r="X10" s="56" t="s">
        <v>1491</v>
      </c>
      <c r="Y10" s="56" t="s">
        <v>1491</v>
      </c>
      <c r="Z10" s="56" t="s">
        <v>1490</v>
      </c>
      <c r="AA10" s="56" t="s">
        <v>1490</v>
      </c>
      <c r="AB10" s="56" t="s">
        <v>1490</v>
      </c>
      <c r="AC10" s="56" t="s">
        <v>1490</v>
      </c>
      <c r="AD10" s="56" t="s">
        <v>1491</v>
      </c>
      <c r="AE10" s="56" t="s">
        <v>1490</v>
      </c>
      <c r="AF10" s="56" t="s">
        <v>1490</v>
      </c>
      <c r="AG10" s="56" t="s">
        <v>1490</v>
      </c>
      <c r="AH10" s="56" t="s">
        <v>1490</v>
      </c>
      <c r="AI10" s="56" t="s">
        <v>1490</v>
      </c>
      <c r="AJ10" s="56" t="s">
        <v>1490</v>
      </c>
      <c r="AK10" s="56" t="s">
        <v>1490</v>
      </c>
    </row>
    <row r="11" spans="1:37" s="56" customFormat="1" ht="30" customHeight="1" x14ac:dyDescent="0.25">
      <c r="A11" s="56">
        <v>10</v>
      </c>
      <c r="B11" s="57" t="s">
        <v>41</v>
      </c>
      <c r="C11" s="57" t="s">
        <v>333</v>
      </c>
      <c r="H11" s="58"/>
      <c r="I11" s="59"/>
      <c r="J11" s="56" t="e">
        <f>VLOOKUP(Table1[[#This Row],[Project Code]],'[6]Combined Nov''25'!$E:$O,10,FALSE)</f>
        <v>#N/A</v>
      </c>
      <c r="K11" s="69" t="e">
        <f>VLOOKUP(Table1[[#This Row],[Project Code]],'[6]Combined Nov''25'!$E:$K,6,FALSE)</f>
        <v>#N/A</v>
      </c>
      <c r="L11" s="57"/>
      <c r="M11" s="56">
        <v>0</v>
      </c>
      <c r="N11" s="73" t="e">
        <f>VLOOKUP(Table1[[#This Row],[Project Code]],'[6]Combined Nov''25'!$E:$K,7,FALSE)</f>
        <v>#N/A</v>
      </c>
      <c r="O11" s="57" t="s">
        <v>857</v>
      </c>
      <c r="P11" s="56" t="s">
        <v>868</v>
      </c>
      <c r="Q11" s="57" t="s">
        <v>887</v>
      </c>
      <c r="T11" s="57" t="e">
        <f>VLOOKUP(Table1[[#This Row],[Project Code]],'[6]Combined Nov''25'!$E:$P,12,FALSE)</f>
        <v>#N/A</v>
      </c>
      <c r="U11" s="57" t="e">
        <v>#N/A</v>
      </c>
      <c r="V11" s="56" t="e">
        <v>#N/A</v>
      </c>
      <c r="W11" s="60"/>
      <c r="X11" s="56" t="s">
        <v>1491</v>
      </c>
      <c r="Y11" s="56" t="s">
        <v>1490</v>
      </c>
      <c r="Z11" s="56" t="s">
        <v>1491</v>
      </c>
      <c r="AA11" s="56" t="s">
        <v>1490</v>
      </c>
      <c r="AB11" s="56" t="s">
        <v>1491</v>
      </c>
      <c r="AC11" s="56" t="s">
        <v>1491</v>
      </c>
      <c r="AD11" s="56" t="s">
        <v>1490</v>
      </c>
      <c r="AE11" s="56" t="s">
        <v>1490</v>
      </c>
      <c r="AF11" s="56" t="s">
        <v>1490</v>
      </c>
      <c r="AG11" s="56" t="s">
        <v>1490</v>
      </c>
      <c r="AH11" s="56" t="s">
        <v>1490</v>
      </c>
      <c r="AI11" s="56" t="s">
        <v>1490</v>
      </c>
      <c r="AJ11" s="56" t="s">
        <v>1490</v>
      </c>
      <c r="AK11" s="56" t="s">
        <v>1490</v>
      </c>
    </row>
    <row r="12" spans="1:37" s="56" customFormat="1" ht="30" customHeight="1" x14ac:dyDescent="0.25">
      <c r="A12" s="56">
        <v>11</v>
      </c>
      <c r="B12" s="57" t="s">
        <v>42</v>
      </c>
      <c r="C12" s="57" t="s">
        <v>334</v>
      </c>
      <c r="D12" s="56" t="s">
        <v>618</v>
      </c>
      <c r="E12" s="56" t="s">
        <v>627</v>
      </c>
      <c r="G12" s="56" t="s">
        <v>1492</v>
      </c>
      <c r="H12" s="58">
        <f>VLOOKUP(Table1[[#This Row],[Project Code]],'[2]Combined '!$E:$N,8,FALSE)</f>
        <v>44938</v>
      </c>
      <c r="I12" s="59"/>
      <c r="K12" s="69" t="str">
        <f>VLOOKUP(Table1[[#This Row],[Project Code]],'[6]Combined Nov''25'!$E:$K,6,FALSE)</f>
        <v>SILF</v>
      </c>
      <c r="L12" s="57" t="s">
        <v>771</v>
      </c>
      <c r="M12" s="56" t="s">
        <v>845</v>
      </c>
      <c r="N12" s="56" t="s">
        <v>892</v>
      </c>
      <c r="O12" s="57" t="s">
        <v>858</v>
      </c>
      <c r="P12" s="56" t="s">
        <v>864</v>
      </c>
      <c r="Q12" s="57" t="s">
        <v>886</v>
      </c>
      <c r="T12" s="57" t="s">
        <v>941</v>
      </c>
      <c r="U12" s="57" t="s">
        <v>1101</v>
      </c>
      <c r="V12" s="56">
        <v>0</v>
      </c>
      <c r="W12" s="60">
        <v>246400</v>
      </c>
      <c r="X12" s="56" t="s">
        <v>1491</v>
      </c>
      <c r="Y12" s="56" t="s">
        <v>1490</v>
      </c>
      <c r="Z12" s="56" t="s">
        <v>1491</v>
      </c>
      <c r="AA12" s="56" t="s">
        <v>1490</v>
      </c>
      <c r="AB12" s="56" t="s">
        <v>1490</v>
      </c>
      <c r="AC12" s="56" t="s">
        <v>1490</v>
      </c>
      <c r="AD12" s="56" t="s">
        <v>1490</v>
      </c>
      <c r="AE12" s="56" t="s">
        <v>1490</v>
      </c>
      <c r="AF12" s="56" t="s">
        <v>1490</v>
      </c>
      <c r="AG12" s="56" t="s">
        <v>1491</v>
      </c>
      <c r="AH12" s="56" t="s">
        <v>1490</v>
      </c>
      <c r="AI12" s="56" t="s">
        <v>1490</v>
      </c>
      <c r="AJ12" s="56" t="s">
        <v>1490</v>
      </c>
      <c r="AK12" s="56" t="s">
        <v>1490</v>
      </c>
    </row>
    <row r="13" spans="1:37" s="56" customFormat="1" ht="30" customHeight="1" x14ac:dyDescent="0.25">
      <c r="A13" s="56">
        <v>12</v>
      </c>
      <c r="B13" s="57" t="s">
        <v>43</v>
      </c>
      <c r="C13" s="57" t="s">
        <v>335</v>
      </c>
      <c r="D13" s="56" t="s">
        <v>616</v>
      </c>
      <c r="E13" s="56" t="s">
        <v>628</v>
      </c>
      <c r="G13" s="56" t="s">
        <v>1492</v>
      </c>
      <c r="H13" s="58">
        <f>VLOOKUP(Table1[[#This Row],[Project Code]],'[2]Combined '!$E:$N,8,FALSE)</f>
        <v>45383</v>
      </c>
      <c r="I13" s="59"/>
      <c r="K13" s="69" t="str">
        <f>VLOOKUP(Table1[[#This Row],[Project Code]],'[6]Combined Nov''25'!$E:$K,6,FALSE)</f>
        <v>Ministry of Culture</v>
      </c>
      <c r="L13" s="57" t="s">
        <v>765</v>
      </c>
      <c r="M13" s="56" t="s">
        <v>843</v>
      </c>
      <c r="N13" s="56" t="s">
        <v>893</v>
      </c>
      <c r="O13" s="57" t="s">
        <v>862</v>
      </c>
      <c r="P13" s="56" t="s">
        <v>864</v>
      </c>
      <c r="Q13" s="57" t="s">
        <v>886</v>
      </c>
      <c r="T13" s="57" t="s">
        <v>942</v>
      </c>
      <c r="U13" s="57" t="s">
        <v>1102</v>
      </c>
      <c r="V13" s="56" t="s">
        <v>1057</v>
      </c>
      <c r="W13" s="60">
        <v>0</v>
      </c>
      <c r="Y13" s="56" t="s">
        <v>1490</v>
      </c>
      <c r="Z13" s="56" t="s">
        <v>1490</v>
      </c>
      <c r="AA13" s="56" t="s">
        <v>1490</v>
      </c>
      <c r="AB13" s="56" t="s">
        <v>1490</v>
      </c>
      <c r="AC13" s="56" t="s">
        <v>1491</v>
      </c>
      <c r="AD13" s="56" t="s">
        <v>1490</v>
      </c>
      <c r="AE13" s="56" t="s">
        <v>1490</v>
      </c>
      <c r="AF13" s="56" t="s">
        <v>1490</v>
      </c>
      <c r="AG13" s="56" t="s">
        <v>1490</v>
      </c>
      <c r="AH13" s="56" t="s">
        <v>1490</v>
      </c>
      <c r="AI13" s="56" t="s">
        <v>1490</v>
      </c>
      <c r="AJ13" s="56" t="s">
        <v>1490</v>
      </c>
      <c r="AK13" s="56" t="s">
        <v>1490</v>
      </c>
    </row>
    <row r="14" spans="1:37" s="56" customFormat="1" ht="30" customHeight="1" x14ac:dyDescent="0.25">
      <c r="A14" s="56">
        <v>13</v>
      </c>
      <c r="B14" s="57" t="s">
        <v>44</v>
      </c>
      <c r="C14" s="57" t="s">
        <v>336</v>
      </c>
      <c r="D14" s="56" t="s">
        <v>616</v>
      </c>
      <c r="E14" s="56" t="s">
        <v>625</v>
      </c>
      <c r="G14" s="56" t="str">
        <f>VLOOKUP(Table1[[#This Row],[Project Code]],[1]Combined!$E:$I,5,FALSE)</f>
        <v>Ongoing</v>
      </c>
      <c r="H14" s="58">
        <f>VLOOKUP(Table1[[#This Row],[Project Code]],'[2]Combined '!$E:$N,8,FALSE)</f>
        <v>45385</v>
      </c>
      <c r="I14" s="59"/>
      <c r="K14" s="69" t="str">
        <f>VLOOKUP(Table1[[#This Row],[Project Code]],'[6]Combined Nov''25'!$E:$K,6,FALSE)</f>
        <v>Shri Somnath Trust</v>
      </c>
      <c r="L14" s="69" t="s">
        <v>772</v>
      </c>
      <c r="M14" s="73" t="s">
        <v>846</v>
      </c>
      <c r="N14" s="73" t="s">
        <v>894</v>
      </c>
      <c r="O14" s="69" t="s">
        <v>862</v>
      </c>
      <c r="P14" s="73" t="s">
        <v>867</v>
      </c>
      <c r="Q14" s="57" t="s">
        <v>886</v>
      </c>
      <c r="R14" s="56" t="s">
        <v>623</v>
      </c>
      <c r="T14" s="57" t="s">
        <v>943</v>
      </c>
      <c r="U14" s="57" t="s">
        <v>1103</v>
      </c>
      <c r="V14" s="56" t="s">
        <v>1057</v>
      </c>
      <c r="W14" s="60">
        <v>0</v>
      </c>
      <c r="Y14" s="56" t="s">
        <v>1489</v>
      </c>
      <c r="Z14" s="56" t="s">
        <v>1490</v>
      </c>
      <c r="AA14" s="56" t="s">
        <v>1490</v>
      </c>
      <c r="AB14" s="56" t="s">
        <v>1490</v>
      </c>
      <c r="AC14" s="56" t="s">
        <v>1490</v>
      </c>
      <c r="AD14" s="56" t="s">
        <v>1490</v>
      </c>
      <c r="AE14" s="56" t="s">
        <v>1490</v>
      </c>
      <c r="AF14" s="56" t="s">
        <v>1490</v>
      </c>
      <c r="AG14" s="56" t="s">
        <v>1490</v>
      </c>
      <c r="AH14" s="56" t="s">
        <v>1490</v>
      </c>
      <c r="AI14" s="56" t="s">
        <v>1490</v>
      </c>
      <c r="AJ14" s="56" t="s">
        <v>1490</v>
      </c>
      <c r="AK14" s="56" t="s">
        <v>1490</v>
      </c>
    </row>
    <row r="15" spans="1:37" s="56" customFormat="1" ht="30" customHeight="1" x14ac:dyDescent="0.25">
      <c r="A15" s="56">
        <v>14</v>
      </c>
      <c r="B15" s="57" t="s">
        <v>45</v>
      </c>
      <c r="C15" s="57" t="s">
        <v>1075</v>
      </c>
      <c r="D15" s="56" t="s">
        <v>619</v>
      </c>
      <c r="E15" s="56" t="s">
        <v>629</v>
      </c>
      <c r="G15" s="56" t="str">
        <f>VLOOKUP(Table1[[#This Row],[Project Code]],[1]Combined!$E:$I,5,FALSE)</f>
        <v>Ongoing</v>
      </c>
      <c r="H15" s="58">
        <f>VLOOKUP(Table1[[#This Row],[Project Code]],'[2]Combined '!$E:$N,8,FALSE)</f>
        <v>42881</v>
      </c>
      <c r="I15" s="59"/>
      <c r="K15" s="69" t="str">
        <f>VLOOKUP(Table1[[#This Row],[Project Code]],'[6]Combined Nov''25'!$E:$K,6,FALSE)</f>
        <v>Coal India Limited</v>
      </c>
      <c r="L15" s="69" t="s">
        <v>773</v>
      </c>
      <c r="M15" s="73" t="s">
        <v>847</v>
      </c>
      <c r="N15" s="73" t="s">
        <v>895</v>
      </c>
      <c r="O15" s="69" t="s">
        <v>861</v>
      </c>
      <c r="P15" s="73" t="s">
        <v>864</v>
      </c>
      <c r="Q15" s="57" t="s">
        <v>887</v>
      </c>
      <c r="T15" s="57" t="s">
        <v>944</v>
      </c>
      <c r="U15" s="57" t="s">
        <v>1104</v>
      </c>
      <c r="V15" s="56" t="s">
        <v>1057</v>
      </c>
      <c r="W15" s="60">
        <v>0</v>
      </c>
      <c r="Y15" s="56" t="s">
        <v>1489</v>
      </c>
      <c r="Z15" s="56" t="s">
        <v>1490</v>
      </c>
      <c r="AA15" s="56" t="s">
        <v>1490</v>
      </c>
      <c r="AB15" s="56" t="s">
        <v>1490</v>
      </c>
      <c r="AC15" s="56" t="s">
        <v>1490</v>
      </c>
      <c r="AD15" s="56" t="s">
        <v>1490</v>
      </c>
      <c r="AE15" s="56" t="s">
        <v>1490</v>
      </c>
      <c r="AF15" s="56" t="s">
        <v>1490</v>
      </c>
      <c r="AG15" s="56" t="s">
        <v>1490</v>
      </c>
      <c r="AH15" s="56" t="s">
        <v>1490</v>
      </c>
      <c r="AI15" s="56" t="s">
        <v>1490</v>
      </c>
      <c r="AJ15" s="56" t="s">
        <v>1490</v>
      </c>
      <c r="AK15" s="56" t="s">
        <v>1490</v>
      </c>
    </row>
    <row r="16" spans="1:37" s="56" customFormat="1" ht="30" customHeight="1" x14ac:dyDescent="0.25">
      <c r="A16" s="56">
        <v>15</v>
      </c>
      <c r="B16" s="57" t="s">
        <v>46</v>
      </c>
      <c r="C16" s="57" t="s">
        <v>337</v>
      </c>
      <c r="H16" s="58"/>
      <c r="I16" s="59"/>
      <c r="J16" s="56" t="e">
        <f>VLOOKUP(Table1[[#This Row],[Project Code]],'[6]Combined Nov''25'!$E:$O,10,FALSE)</f>
        <v>#N/A</v>
      </c>
      <c r="K16" s="69" t="e">
        <f>VLOOKUP(Table1[[#This Row],[Project Code]],'[6]Combined Nov''25'!$E:$K,6,FALSE)</f>
        <v>#N/A</v>
      </c>
      <c r="L16" s="57" t="s">
        <v>696</v>
      </c>
      <c r="M16" s="56" t="s">
        <v>843</v>
      </c>
      <c r="N16" s="73" t="e">
        <f>VLOOKUP(Table1[[#This Row],[Project Code]],'[6]Combined Nov''25'!$E:$K,7,FALSE)</f>
        <v>#N/A</v>
      </c>
      <c r="O16" s="57" t="s">
        <v>859</v>
      </c>
      <c r="P16" s="56" t="s">
        <v>864</v>
      </c>
      <c r="Q16" s="57" t="s">
        <v>887</v>
      </c>
      <c r="T16" s="57" t="e">
        <f>VLOOKUP(Table1[[#This Row],[Project Code]],'[6]Combined Nov''25'!$E:$P,12,FALSE)</f>
        <v>#N/A</v>
      </c>
      <c r="U16" s="57" t="e">
        <v>#N/A</v>
      </c>
      <c r="V16" s="56" t="e">
        <v>#N/A</v>
      </c>
      <c r="W16" s="60" t="e">
        <v>#N/A</v>
      </c>
      <c r="X16" s="56" t="s">
        <v>1490</v>
      </c>
      <c r="Y16" s="56" t="s">
        <v>1490</v>
      </c>
      <c r="Z16" s="56" t="s">
        <v>1491</v>
      </c>
      <c r="AA16" s="56" t="s">
        <v>1490</v>
      </c>
      <c r="AB16" s="56" t="s">
        <v>1491</v>
      </c>
      <c r="AC16" s="56" t="s">
        <v>1491</v>
      </c>
      <c r="AD16" s="56" t="s">
        <v>1490</v>
      </c>
      <c r="AE16" s="56" t="s">
        <v>1490</v>
      </c>
      <c r="AF16" s="56" t="s">
        <v>1490</v>
      </c>
      <c r="AG16" s="56" t="s">
        <v>1490</v>
      </c>
      <c r="AH16" s="56" t="s">
        <v>1490</v>
      </c>
      <c r="AI16" s="56" t="s">
        <v>1490</v>
      </c>
      <c r="AJ16" s="56" t="s">
        <v>1490</v>
      </c>
      <c r="AK16" s="56" t="s">
        <v>1490</v>
      </c>
    </row>
    <row r="17" spans="1:37" s="56" customFormat="1" ht="30" customHeight="1" x14ac:dyDescent="0.25">
      <c r="A17" s="56">
        <v>16</v>
      </c>
      <c r="B17" s="57" t="s">
        <v>47</v>
      </c>
      <c r="C17" s="57" t="s">
        <v>338</v>
      </c>
      <c r="H17" s="58"/>
      <c r="I17" s="59"/>
      <c r="J17" s="56" t="e">
        <f>VLOOKUP(Table1[[#This Row],[Project Code]],'[6]Combined Nov''25'!$E:$O,10,FALSE)</f>
        <v>#N/A</v>
      </c>
      <c r="K17" s="69" t="e">
        <f>VLOOKUP(Table1[[#This Row],[Project Code]],'[6]Combined Nov''25'!$E:$K,6,FALSE)</f>
        <v>#N/A</v>
      </c>
      <c r="L17" s="57" t="s">
        <v>696</v>
      </c>
      <c r="M17" s="56" t="s">
        <v>843</v>
      </c>
      <c r="N17" s="73" t="e">
        <f>VLOOKUP(Table1[[#This Row],[Project Code]],'[6]Combined Nov''25'!$E:$K,7,FALSE)</f>
        <v>#N/A</v>
      </c>
      <c r="O17" s="57" t="s">
        <v>859</v>
      </c>
      <c r="P17" s="56" t="s">
        <v>864</v>
      </c>
      <c r="Q17" s="57" t="s">
        <v>887</v>
      </c>
      <c r="T17" s="57" t="e">
        <f>VLOOKUP(Table1[[#This Row],[Project Code]],'[6]Combined Nov''25'!$E:$P,12,FALSE)</f>
        <v>#N/A</v>
      </c>
      <c r="U17" s="57" t="e">
        <v>#N/A</v>
      </c>
      <c r="V17" s="56" t="e">
        <v>#N/A</v>
      </c>
      <c r="W17" s="60" t="e">
        <v>#N/A</v>
      </c>
      <c r="Y17" s="56" t="s">
        <v>1489</v>
      </c>
      <c r="Z17" s="56" t="s">
        <v>1490</v>
      </c>
      <c r="AA17" s="56" t="s">
        <v>1490</v>
      </c>
      <c r="AB17" s="56" t="s">
        <v>1490</v>
      </c>
      <c r="AC17" s="56" t="s">
        <v>1490</v>
      </c>
      <c r="AD17" s="56" t="s">
        <v>1490</v>
      </c>
      <c r="AE17" s="56" t="s">
        <v>1490</v>
      </c>
      <c r="AF17" s="56" t="s">
        <v>1490</v>
      </c>
      <c r="AG17" s="56" t="s">
        <v>1490</v>
      </c>
      <c r="AH17" s="56" t="s">
        <v>1490</v>
      </c>
      <c r="AI17" s="56" t="s">
        <v>1490</v>
      </c>
      <c r="AJ17" s="56" t="s">
        <v>1490</v>
      </c>
      <c r="AK17" s="56" t="s">
        <v>1490</v>
      </c>
    </row>
    <row r="18" spans="1:37" s="56" customFormat="1" ht="30" customHeight="1" x14ac:dyDescent="0.25">
      <c r="A18" s="56">
        <v>17</v>
      </c>
      <c r="B18" s="57" t="s">
        <v>48</v>
      </c>
      <c r="C18" s="57" t="s">
        <v>339</v>
      </c>
      <c r="H18" s="58"/>
      <c r="I18" s="59"/>
      <c r="J18" s="56" t="e">
        <f>VLOOKUP(Table1[[#This Row],[Project Code]],'[6]Combined Nov''25'!$E:$O,10,FALSE)</f>
        <v>#N/A</v>
      </c>
      <c r="K18" s="69" t="e">
        <f>VLOOKUP(Table1[[#This Row],[Project Code]],'[6]Combined Nov''25'!$E:$K,6,FALSE)</f>
        <v>#N/A</v>
      </c>
      <c r="L18" s="57" t="s">
        <v>696</v>
      </c>
      <c r="M18" s="56" t="s">
        <v>843</v>
      </c>
      <c r="N18" s="73" t="e">
        <f>VLOOKUP(Table1[[#This Row],[Project Code]],'[6]Combined Nov''25'!$E:$K,7,FALSE)</f>
        <v>#N/A</v>
      </c>
      <c r="O18" s="57" t="s">
        <v>859</v>
      </c>
      <c r="P18" s="56" t="s">
        <v>864</v>
      </c>
      <c r="Q18" s="57" t="s">
        <v>887</v>
      </c>
      <c r="T18" s="57" t="e">
        <f>VLOOKUP(Table1[[#This Row],[Project Code]],'[6]Combined Nov''25'!$E:$P,12,FALSE)</f>
        <v>#N/A</v>
      </c>
      <c r="U18" s="57" t="e">
        <v>#N/A</v>
      </c>
      <c r="V18" s="56" t="e">
        <v>#N/A</v>
      </c>
      <c r="W18" s="60" t="e">
        <v>#N/A</v>
      </c>
      <c r="Y18" s="56" t="s">
        <v>1489</v>
      </c>
      <c r="Z18" s="56" t="s">
        <v>1490</v>
      </c>
      <c r="AA18" s="56" t="s">
        <v>1490</v>
      </c>
      <c r="AB18" s="56" t="s">
        <v>1490</v>
      </c>
      <c r="AC18" s="56" t="s">
        <v>1490</v>
      </c>
      <c r="AD18" s="56" t="s">
        <v>1490</v>
      </c>
      <c r="AE18" s="56" t="s">
        <v>1490</v>
      </c>
      <c r="AF18" s="56" t="s">
        <v>1490</v>
      </c>
      <c r="AG18" s="56" t="s">
        <v>1490</v>
      </c>
      <c r="AH18" s="56" t="s">
        <v>1490</v>
      </c>
      <c r="AI18" s="56" t="s">
        <v>1490</v>
      </c>
      <c r="AJ18" s="56" t="s">
        <v>1490</v>
      </c>
      <c r="AK18" s="56" t="s">
        <v>1490</v>
      </c>
    </row>
    <row r="19" spans="1:37" s="56" customFormat="1" ht="30" customHeight="1" x14ac:dyDescent="0.25">
      <c r="A19" s="56">
        <v>18</v>
      </c>
      <c r="B19" s="57" t="s">
        <v>49</v>
      </c>
      <c r="C19" s="57" t="s">
        <v>340</v>
      </c>
      <c r="H19" s="58"/>
      <c r="I19" s="59"/>
      <c r="J19" s="56" t="e">
        <f>VLOOKUP(Table1[[#This Row],[Project Code]],'[6]Combined Nov''25'!$E:$O,10,FALSE)</f>
        <v>#N/A</v>
      </c>
      <c r="K19" s="57" t="s">
        <v>673</v>
      </c>
      <c r="L19" s="57" t="s">
        <v>774</v>
      </c>
      <c r="M19" s="56" t="s">
        <v>843</v>
      </c>
      <c r="N19" s="73" t="e">
        <f>VLOOKUP(Table1[[#This Row],[Project Code]],'[6]Combined Nov''25'!$E:$K,7,FALSE)</f>
        <v>#N/A</v>
      </c>
      <c r="O19" s="57" t="s">
        <v>856</v>
      </c>
      <c r="P19" s="56" t="s">
        <v>864</v>
      </c>
      <c r="Q19" s="57" t="s">
        <v>887</v>
      </c>
      <c r="T19" s="57" t="e">
        <f>VLOOKUP(Table1[[#This Row],[Project Code]],'[6]Combined Nov''25'!$E:$P,12,FALSE)</f>
        <v>#N/A</v>
      </c>
      <c r="U19" s="57" t="e">
        <v>#N/A</v>
      </c>
      <c r="V19" s="56" t="e">
        <v>#N/A</v>
      </c>
      <c r="W19" s="60" t="e">
        <v>#N/A</v>
      </c>
      <c r="Y19" s="56" t="s">
        <v>1489</v>
      </c>
      <c r="Z19" s="56" t="s">
        <v>1490</v>
      </c>
      <c r="AA19" s="56" t="s">
        <v>1490</v>
      </c>
      <c r="AB19" s="56" t="s">
        <v>1490</v>
      </c>
      <c r="AC19" s="56" t="s">
        <v>1490</v>
      </c>
      <c r="AD19" s="56" t="s">
        <v>1490</v>
      </c>
      <c r="AE19" s="56" t="s">
        <v>1490</v>
      </c>
      <c r="AF19" s="56" t="s">
        <v>1490</v>
      </c>
      <c r="AG19" s="56" t="s">
        <v>1490</v>
      </c>
      <c r="AH19" s="56" t="s">
        <v>1490</v>
      </c>
      <c r="AI19" s="56" t="s">
        <v>1490</v>
      </c>
      <c r="AJ19" s="56" t="s">
        <v>1490</v>
      </c>
      <c r="AK19" s="56" t="s">
        <v>1490</v>
      </c>
    </row>
    <row r="20" spans="1:37" s="56" customFormat="1" ht="30" customHeight="1" x14ac:dyDescent="0.25">
      <c r="A20" s="56">
        <v>19</v>
      </c>
      <c r="B20" s="57" t="s">
        <v>50</v>
      </c>
      <c r="C20" s="57" t="s">
        <v>341</v>
      </c>
      <c r="H20" s="58"/>
      <c r="I20" s="59"/>
      <c r="J20" s="56" t="e">
        <f>VLOOKUP(Table1[[#This Row],[Project Code]],'[6]Combined Nov''25'!$E:$O,10,FALSE)</f>
        <v>#N/A</v>
      </c>
      <c r="K20" s="69" t="e">
        <f>VLOOKUP(Table1[[#This Row],[Project Code]],'[6]Combined Nov''25'!$E:$K,6,FALSE)</f>
        <v>#N/A</v>
      </c>
      <c r="L20" s="57" t="s">
        <v>775</v>
      </c>
      <c r="M20" s="56" t="s">
        <v>847</v>
      </c>
      <c r="N20" s="73" t="e">
        <f>VLOOKUP(Table1[[#This Row],[Project Code]],'[6]Combined Nov''25'!$E:$K,7,FALSE)</f>
        <v>#N/A</v>
      </c>
      <c r="O20" s="57" t="s">
        <v>859</v>
      </c>
      <c r="P20" s="56" t="s">
        <v>864</v>
      </c>
      <c r="Q20" s="57" t="s">
        <v>887</v>
      </c>
      <c r="T20" s="57" t="e">
        <f>VLOOKUP(Table1[[#This Row],[Project Code]],'[6]Combined Nov''25'!$E:$P,12,FALSE)</f>
        <v>#N/A</v>
      </c>
      <c r="U20" s="57" t="e">
        <v>#N/A</v>
      </c>
      <c r="V20" s="56" t="e">
        <v>#N/A</v>
      </c>
      <c r="W20" s="60" t="e">
        <v>#N/A</v>
      </c>
      <c r="X20" s="56" t="s">
        <v>1490</v>
      </c>
      <c r="Y20" s="56" t="s">
        <v>1489</v>
      </c>
      <c r="Z20" s="56" t="s">
        <v>1490</v>
      </c>
      <c r="AA20" s="56" t="s">
        <v>1490</v>
      </c>
      <c r="AB20" s="56" t="s">
        <v>1490</v>
      </c>
      <c r="AC20" s="56" t="s">
        <v>1490</v>
      </c>
      <c r="AD20" s="56" t="s">
        <v>1490</v>
      </c>
      <c r="AE20" s="56" t="s">
        <v>1490</v>
      </c>
      <c r="AF20" s="56" t="s">
        <v>1490</v>
      </c>
      <c r="AG20" s="56" t="s">
        <v>1490</v>
      </c>
      <c r="AH20" s="56" t="s">
        <v>1490</v>
      </c>
      <c r="AI20" s="56" t="s">
        <v>1490</v>
      </c>
      <c r="AJ20" s="56" t="s">
        <v>1490</v>
      </c>
      <c r="AK20" s="56" t="s">
        <v>1490</v>
      </c>
    </row>
    <row r="21" spans="1:37" s="56" customFormat="1" ht="30" customHeight="1" x14ac:dyDescent="0.25">
      <c r="A21" s="56">
        <v>20</v>
      </c>
      <c r="B21" s="57" t="s">
        <v>51</v>
      </c>
      <c r="C21" s="57" t="s">
        <v>342</v>
      </c>
      <c r="H21" s="58"/>
      <c r="I21" s="59"/>
      <c r="J21" s="56" t="e">
        <f>VLOOKUP(Table1[[#This Row],[Project Code]],'[6]Combined Nov''25'!$E:$O,10,FALSE)</f>
        <v>#N/A</v>
      </c>
      <c r="K21" s="69" t="e">
        <f>VLOOKUP(Table1[[#This Row],[Project Code]],'[6]Combined Nov''25'!$E:$K,6,FALSE)</f>
        <v>#N/A</v>
      </c>
      <c r="L21" s="57" t="s">
        <v>776</v>
      </c>
      <c r="M21" s="56" t="s">
        <v>844</v>
      </c>
      <c r="N21" s="73" t="e">
        <f>VLOOKUP(Table1[[#This Row],[Project Code]],'[6]Combined Nov''25'!$E:$K,7,FALSE)</f>
        <v>#N/A</v>
      </c>
      <c r="O21" s="57" t="s">
        <v>859</v>
      </c>
      <c r="P21" s="56" t="s">
        <v>869</v>
      </c>
      <c r="Q21" s="57" t="s">
        <v>886</v>
      </c>
      <c r="T21" s="57" t="e">
        <f>VLOOKUP(Table1[[#This Row],[Project Code]],'[6]Combined Nov''25'!$E:$P,12,FALSE)</f>
        <v>#N/A</v>
      </c>
      <c r="U21" s="57" t="e">
        <v>#N/A</v>
      </c>
      <c r="V21" s="56" t="e">
        <v>#N/A</v>
      </c>
      <c r="W21" s="60" t="e">
        <v>#N/A</v>
      </c>
      <c r="X21" s="56" t="s">
        <v>1490</v>
      </c>
      <c r="Y21" s="56" t="s">
        <v>1491</v>
      </c>
      <c r="Z21" s="56" t="s">
        <v>1490</v>
      </c>
      <c r="AA21" s="56" t="s">
        <v>1490</v>
      </c>
      <c r="AB21" s="56" t="s">
        <v>1490</v>
      </c>
      <c r="AC21" s="56" t="s">
        <v>1490</v>
      </c>
      <c r="AD21" s="56" t="s">
        <v>1490</v>
      </c>
      <c r="AE21" s="56" t="s">
        <v>1490</v>
      </c>
      <c r="AF21" s="56" t="s">
        <v>1490</v>
      </c>
      <c r="AG21" s="56" t="s">
        <v>1490</v>
      </c>
      <c r="AH21" s="56" t="s">
        <v>1490</v>
      </c>
      <c r="AI21" s="56" t="s">
        <v>1490</v>
      </c>
      <c r="AJ21" s="56" t="s">
        <v>1490</v>
      </c>
      <c r="AK21" s="56" t="s">
        <v>1490</v>
      </c>
    </row>
    <row r="22" spans="1:37" s="56" customFormat="1" ht="30" customHeight="1" x14ac:dyDescent="0.25">
      <c r="A22" s="56">
        <v>21</v>
      </c>
      <c r="B22" s="57" t="s">
        <v>52</v>
      </c>
      <c r="C22" s="57" t="s">
        <v>343</v>
      </c>
      <c r="H22" s="58"/>
      <c r="I22" s="59"/>
      <c r="J22" s="56" t="e">
        <f>VLOOKUP(Table1[[#This Row],[Project Code]],'[6]Combined Nov''25'!$E:$O,10,FALSE)</f>
        <v>#N/A</v>
      </c>
      <c r="K22" s="57" t="s">
        <v>674</v>
      </c>
      <c r="L22" s="57" t="s">
        <v>776</v>
      </c>
      <c r="M22" s="56" t="s">
        <v>844</v>
      </c>
      <c r="N22" s="73" t="e">
        <f>VLOOKUP(Table1[[#This Row],[Project Code]],'[6]Combined Nov''25'!$E:$K,7,FALSE)</f>
        <v>#N/A</v>
      </c>
      <c r="O22" s="57" t="s">
        <v>859</v>
      </c>
      <c r="P22" s="56" t="s">
        <v>869</v>
      </c>
      <c r="Q22" s="57" t="s">
        <v>886</v>
      </c>
      <c r="T22" s="57" t="e">
        <f>VLOOKUP(Table1[[#This Row],[Project Code]],'[6]Combined Nov''25'!$E:$P,12,FALSE)</f>
        <v>#N/A</v>
      </c>
      <c r="U22" s="57" t="e">
        <v>#N/A</v>
      </c>
      <c r="V22" s="56" t="e">
        <v>#N/A</v>
      </c>
      <c r="W22" s="60" t="e">
        <v>#N/A</v>
      </c>
      <c r="X22" s="56" t="s">
        <v>1491</v>
      </c>
      <c r="Y22" s="56" t="s">
        <v>1491</v>
      </c>
      <c r="Z22" s="56" t="s">
        <v>1491</v>
      </c>
      <c r="AA22" s="56" t="s">
        <v>1490</v>
      </c>
      <c r="AB22" s="56" t="s">
        <v>1491</v>
      </c>
      <c r="AC22" s="56" t="s">
        <v>1491</v>
      </c>
      <c r="AD22" s="56" t="s">
        <v>1491</v>
      </c>
      <c r="AE22" s="56" t="s">
        <v>1490</v>
      </c>
      <c r="AF22" s="56" t="s">
        <v>1490</v>
      </c>
      <c r="AG22" s="56" t="s">
        <v>1491</v>
      </c>
      <c r="AH22" s="56" t="s">
        <v>1490</v>
      </c>
      <c r="AI22" s="56" t="s">
        <v>1490</v>
      </c>
      <c r="AJ22" s="56" t="s">
        <v>1490</v>
      </c>
      <c r="AK22" s="56" t="s">
        <v>1490</v>
      </c>
    </row>
    <row r="23" spans="1:37" s="56" customFormat="1" ht="30" customHeight="1" x14ac:dyDescent="0.25">
      <c r="A23" s="56">
        <v>22</v>
      </c>
      <c r="B23" s="57" t="s">
        <v>53</v>
      </c>
      <c r="C23" s="57" t="s">
        <v>344</v>
      </c>
      <c r="H23" s="58"/>
      <c r="I23" s="59"/>
      <c r="J23" s="56" t="e">
        <f>VLOOKUP(Table1[[#This Row],[Project Code]],'[6]Combined Nov''25'!$E:$O,10,FALSE)</f>
        <v>#N/A</v>
      </c>
      <c r="K23" s="69" t="e">
        <f>VLOOKUP(Table1[[#This Row],[Project Code]],'[6]Combined Nov''25'!$E:$K,6,FALSE)</f>
        <v>#N/A</v>
      </c>
      <c r="L23" s="57" t="s">
        <v>776</v>
      </c>
      <c r="M23" s="56" t="s">
        <v>844</v>
      </c>
      <c r="N23" s="73" t="e">
        <f>VLOOKUP(Table1[[#This Row],[Project Code]],'[6]Combined Nov''25'!$E:$K,7,FALSE)</f>
        <v>#N/A</v>
      </c>
      <c r="O23" s="57" t="s">
        <v>859</v>
      </c>
      <c r="P23" s="56" t="s">
        <v>869</v>
      </c>
      <c r="Q23" s="57" t="s">
        <v>887</v>
      </c>
      <c r="T23" s="57" t="e">
        <f>VLOOKUP(Table1[[#This Row],[Project Code]],'[6]Combined Nov''25'!$E:$P,12,FALSE)</f>
        <v>#N/A</v>
      </c>
      <c r="U23" s="57" t="e">
        <v>#N/A</v>
      </c>
      <c r="V23" s="56" t="e">
        <v>#N/A</v>
      </c>
      <c r="W23" s="60" t="e">
        <v>#N/A</v>
      </c>
      <c r="X23" s="56" t="s">
        <v>1490</v>
      </c>
      <c r="Y23" s="56" t="s">
        <v>1489</v>
      </c>
      <c r="Z23" s="56" t="s">
        <v>1490</v>
      </c>
      <c r="AA23" s="56" t="s">
        <v>1490</v>
      </c>
      <c r="AB23" s="56" t="s">
        <v>1490</v>
      </c>
      <c r="AC23" s="56" t="s">
        <v>1490</v>
      </c>
      <c r="AD23" s="56" t="s">
        <v>1490</v>
      </c>
      <c r="AE23" s="56" t="s">
        <v>1490</v>
      </c>
      <c r="AF23" s="56" t="s">
        <v>1490</v>
      </c>
      <c r="AG23" s="56" t="s">
        <v>1490</v>
      </c>
      <c r="AH23" s="56" t="s">
        <v>1490</v>
      </c>
      <c r="AI23" s="56" t="s">
        <v>1490</v>
      </c>
      <c r="AJ23" s="56" t="s">
        <v>1490</v>
      </c>
      <c r="AK23" s="56" t="s">
        <v>1490</v>
      </c>
    </row>
    <row r="24" spans="1:37" s="56" customFormat="1" ht="30" customHeight="1" x14ac:dyDescent="0.25">
      <c r="A24" s="56">
        <v>23</v>
      </c>
      <c r="B24" s="57" t="s">
        <v>54</v>
      </c>
      <c r="C24" s="57" t="s">
        <v>345</v>
      </c>
      <c r="H24" s="58"/>
      <c r="I24" s="59"/>
      <c r="J24" s="56" t="e">
        <f>VLOOKUP(Table1[[#This Row],[Project Code]],'[6]Combined Nov''25'!$E:$O,10,FALSE)</f>
        <v>#N/A</v>
      </c>
      <c r="K24" s="69" t="e">
        <f>VLOOKUP(Table1[[#This Row],[Project Code]],'[6]Combined Nov''25'!$E:$K,6,FALSE)</f>
        <v>#N/A</v>
      </c>
      <c r="L24" s="57" t="s">
        <v>696</v>
      </c>
      <c r="M24" s="56" t="s">
        <v>843</v>
      </c>
      <c r="N24" s="73" t="e">
        <f>VLOOKUP(Table1[[#This Row],[Project Code]],'[6]Combined Nov''25'!$E:$K,7,FALSE)</f>
        <v>#N/A</v>
      </c>
      <c r="O24" s="57" t="s">
        <v>859</v>
      </c>
      <c r="P24" s="56" t="s">
        <v>870</v>
      </c>
      <c r="Q24" s="57" t="s">
        <v>887</v>
      </c>
      <c r="T24" s="57" t="e">
        <f>VLOOKUP(Table1[[#This Row],[Project Code]],'[6]Combined Nov''25'!$E:$P,12,FALSE)</f>
        <v>#N/A</v>
      </c>
      <c r="U24" s="57" t="e">
        <v>#N/A</v>
      </c>
      <c r="V24" s="56" t="e">
        <v>#N/A</v>
      </c>
      <c r="W24" s="60" t="e">
        <v>#N/A</v>
      </c>
      <c r="X24" s="56" t="s">
        <v>1490</v>
      </c>
      <c r="Y24" s="56" t="s">
        <v>1490</v>
      </c>
      <c r="Z24" s="56" t="s">
        <v>1491</v>
      </c>
      <c r="AA24" s="56" t="s">
        <v>1491</v>
      </c>
      <c r="AB24" s="56" t="s">
        <v>1491</v>
      </c>
      <c r="AC24" s="56" t="s">
        <v>1491</v>
      </c>
      <c r="AD24" s="56" t="s">
        <v>1490</v>
      </c>
      <c r="AE24" s="56" t="s">
        <v>1490</v>
      </c>
      <c r="AF24" s="56" t="s">
        <v>1490</v>
      </c>
      <c r="AG24" s="56" t="s">
        <v>1490</v>
      </c>
      <c r="AH24" s="56" t="s">
        <v>1490</v>
      </c>
      <c r="AI24" s="56" t="s">
        <v>1490</v>
      </c>
      <c r="AJ24" s="56" t="s">
        <v>1490</v>
      </c>
      <c r="AK24" s="56" t="s">
        <v>1490</v>
      </c>
    </row>
    <row r="25" spans="1:37" s="56" customFormat="1" ht="30" customHeight="1" x14ac:dyDescent="0.25">
      <c r="A25" s="56">
        <v>24</v>
      </c>
      <c r="B25" s="57" t="s">
        <v>55</v>
      </c>
      <c r="C25" s="57" t="s">
        <v>346</v>
      </c>
      <c r="H25" s="58"/>
      <c r="I25" s="59"/>
      <c r="J25" s="56" t="e">
        <f>VLOOKUP(Table1[[#This Row],[Project Code]],'[6]Combined Nov''25'!$E:$O,10,FALSE)</f>
        <v>#N/A</v>
      </c>
      <c r="K25" s="69" t="e">
        <f>VLOOKUP(Table1[[#This Row],[Project Code]],'[6]Combined Nov''25'!$E:$K,6,FALSE)</f>
        <v>#N/A</v>
      </c>
      <c r="L25" s="57" t="s">
        <v>696</v>
      </c>
      <c r="M25" s="56" t="s">
        <v>843</v>
      </c>
      <c r="N25" s="73" t="e">
        <f>VLOOKUP(Table1[[#This Row],[Project Code]],'[6]Combined Nov''25'!$E:$K,7,FALSE)</f>
        <v>#N/A</v>
      </c>
      <c r="O25" s="57" t="s">
        <v>859</v>
      </c>
      <c r="P25" s="56" t="s">
        <v>864</v>
      </c>
      <c r="Q25" s="57" t="s">
        <v>887</v>
      </c>
      <c r="T25" s="57" t="e">
        <f>VLOOKUP(Table1[[#This Row],[Project Code]],'[6]Combined Nov''25'!$E:$P,12,FALSE)</f>
        <v>#N/A</v>
      </c>
      <c r="U25" s="57" t="e">
        <v>#N/A</v>
      </c>
      <c r="V25" s="56" t="e">
        <v>#N/A</v>
      </c>
      <c r="W25" s="60" t="e">
        <v>#N/A</v>
      </c>
      <c r="X25" s="56" t="s">
        <v>1491</v>
      </c>
      <c r="Y25" s="56" t="s">
        <v>1491</v>
      </c>
      <c r="Z25" s="56" t="s">
        <v>1491</v>
      </c>
      <c r="AA25" s="56" t="s">
        <v>1490</v>
      </c>
      <c r="AB25" s="56" t="s">
        <v>1490</v>
      </c>
      <c r="AC25" s="56" t="s">
        <v>1491</v>
      </c>
      <c r="AD25" s="56" t="s">
        <v>1491</v>
      </c>
      <c r="AE25" s="56" t="s">
        <v>1490</v>
      </c>
      <c r="AF25" s="56" t="s">
        <v>1490</v>
      </c>
      <c r="AG25" s="56" t="s">
        <v>1491</v>
      </c>
      <c r="AH25" s="56" t="s">
        <v>1490</v>
      </c>
      <c r="AI25" s="56" t="s">
        <v>1490</v>
      </c>
      <c r="AJ25" s="56" t="s">
        <v>1490</v>
      </c>
      <c r="AK25" s="56" t="s">
        <v>1490</v>
      </c>
    </row>
    <row r="26" spans="1:37" s="56" customFormat="1" ht="30" customHeight="1" x14ac:dyDescent="0.25">
      <c r="A26" s="56">
        <v>25</v>
      </c>
      <c r="B26" s="57" t="s">
        <v>56</v>
      </c>
      <c r="C26" s="57" t="s">
        <v>347</v>
      </c>
      <c r="H26" s="58"/>
      <c r="I26" s="59"/>
      <c r="J26" s="56" t="e">
        <f>VLOOKUP(Table1[[#This Row],[Project Code]],'[6]Combined Nov''25'!$E:$O,10,FALSE)</f>
        <v>#N/A</v>
      </c>
      <c r="K26" s="69" t="e">
        <f>VLOOKUP(Table1[[#This Row],[Project Code]],'[6]Combined Nov''25'!$E:$K,6,FALSE)</f>
        <v>#N/A</v>
      </c>
      <c r="L26" s="57" t="s">
        <v>777</v>
      </c>
      <c r="M26" s="56" t="s">
        <v>844</v>
      </c>
      <c r="N26" s="73" t="e">
        <f>VLOOKUP(Table1[[#This Row],[Project Code]],'[6]Combined Nov''25'!$E:$K,7,FALSE)</f>
        <v>#N/A</v>
      </c>
      <c r="O26" s="57" t="s">
        <v>859</v>
      </c>
      <c r="P26" s="56" t="s">
        <v>871</v>
      </c>
      <c r="Q26" s="57" t="s">
        <v>887</v>
      </c>
      <c r="T26" s="57" t="e">
        <f>VLOOKUP(Table1[[#This Row],[Project Code]],'[6]Combined Nov''25'!$E:$P,12,FALSE)</f>
        <v>#N/A</v>
      </c>
      <c r="U26" s="57" t="e">
        <v>#N/A</v>
      </c>
      <c r="V26" s="56" t="e">
        <v>#N/A</v>
      </c>
      <c r="W26" s="60" t="e">
        <v>#N/A</v>
      </c>
      <c r="X26" s="56" t="s">
        <v>1491</v>
      </c>
      <c r="Y26" s="56" t="s">
        <v>1491</v>
      </c>
      <c r="Z26" s="56" t="s">
        <v>1491</v>
      </c>
      <c r="AA26" s="56" t="s">
        <v>1490</v>
      </c>
      <c r="AB26" s="56" t="s">
        <v>1490</v>
      </c>
      <c r="AC26" s="56" t="s">
        <v>1491</v>
      </c>
      <c r="AD26" s="56" t="s">
        <v>1490</v>
      </c>
      <c r="AE26" s="56" t="s">
        <v>1490</v>
      </c>
      <c r="AF26" s="56" t="s">
        <v>1490</v>
      </c>
      <c r="AG26" s="56" t="s">
        <v>1491</v>
      </c>
      <c r="AH26" s="56" t="s">
        <v>1490</v>
      </c>
      <c r="AI26" s="56" t="s">
        <v>1490</v>
      </c>
      <c r="AJ26" s="56" t="s">
        <v>1490</v>
      </c>
      <c r="AK26" s="56" t="s">
        <v>1490</v>
      </c>
    </row>
    <row r="27" spans="1:37" s="56" customFormat="1" ht="30" customHeight="1" x14ac:dyDescent="0.25">
      <c r="A27" s="56">
        <v>26</v>
      </c>
      <c r="B27" s="57" t="s">
        <v>57</v>
      </c>
      <c r="C27" s="57" t="s">
        <v>348</v>
      </c>
      <c r="H27" s="58"/>
      <c r="I27" s="59"/>
      <c r="J27" s="56" t="e">
        <f>VLOOKUP(Table1[[#This Row],[Project Code]],'[6]Combined Nov''25'!$E:$O,10,FALSE)</f>
        <v>#N/A</v>
      </c>
      <c r="K27" s="69" t="e">
        <f>VLOOKUP(Table1[[#This Row],[Project Code]],'[6]Combined Nov''25'!$E:$K,6,FALSE)</f>
        <v>#N/A</v>
      </c>
      <c r="L27" s="57" t="s">
        <v>778</v>
      </c>
      <c r="M27" s="56" t="s">
        <v>843</v>
      </c>
      <c r="N27" s="73" t="e">
        <f>VLOOKUP(Table1[[#This Row],[Project Code]],'[6]Combined Nov''25'!$E:$K,7,FALSE)</f>
        <v>#N/A</v>
      </c>
      <c r="O27" s="57" t="s">
        <v>859</v>
      </c>
      <c r="P27" s="56" t="s">
        <v>864</v>
      </c>
      <c r="Q27" s="57" t="s">
        <v>887</v>
      </c>
      <c r="T27" s="57" t="e">
        <f>VLOOKUP(Table1[[#This Row],[Project Code]],'[6]Combined Nov''25'!$E:$P,12,FALSE)</f>
        <v>#N/A</v>
      </c>
      <c r="U27" s="57" t="e">
        <v>#N/A</v>
      </c>
      <c r="V27" s="56" t="e">
        <v>#N/A</v>
      </c>
      <c r="W27" s="60" t="e">
        <v>#N/A</v>
      </c>
      <c r="X27" s="56" t="s">
        <v>1490</v>
      </c>
      <c r="Y27" s="56" t="s">
        <v>1490</v>
      </c>
      <c r="Z27" s="56" t="s">
        <v>1490</v>
      </c>
      <c r="AA27" s="56" t="s">
        <v>1490</v>
      </c>
      <c r="AB27" s="56" t="s">
        <v>1490</v>
      </c>
      <c r="AC27" s="56" t="s">
        <v>1491</v>
      </c>
      <c r="AD27" s="56" t="s">
        <v>1490</v>
      </c>
      <c r="AE27" s="56" t="s">
        <v>1490</v>
      </c>
      <c r="AF27" s="56" t="s">
        <v>1490</v>
      </c>
      <c r="AG27" s="56" t="s">
        <v>1490</v>
      </c>
      <c r="AH27" s="56" t="s">
        <v>1490</v>
      </c>
      <c r="AI27" s="56" t="s">
        <v>1490</v>
      </c>
      <c r="AJ27" s="56" t="s">
        <v>1490</v>
      </c>
      <c r="AK27" s="56" t="s">
        <v>1490</v>
      </c>
    </row>
    <row r="28" spans="1:37" s="56" customFormat="1" ht="30" customHeight="1" x14ac:dyDescent="0.25">
      <c r="A28" s="56">
        <v>27</v>
      </c>
      <c r="B28" s="57" t="s">
        <v>58</v>
      </c>
      <c r="C28" s="57" t="s">
        <v>349</v>
      </c>
      <c r="H28" s="58"/>
      <c r="I28" s="59"/>
      <c r="J28" s="56" t="e">
        <f>VLOOKUP(Table1[[#This Row],[Project Code]],'[6]Combined Nov''25'!$E:$O,10,FALSE)</f>
        <v>#N/A</v>
      </c>
      <c r="K28" s="69" t="e">
        <f>VLOOKUP(Table1[[#This Row],[Project Code]],'[6]Combined Nov''25'!$E:$K,6,FALSE)</f>
        <v>#N/A</v>
      </c>
      <c r="L28" s="57" t="s">
        <v>779</v>
      </c>
      <c r="M28" s="56" t="s">
        <v>844</v>
      </c>
      <c r="N28" s="73" t="e">
        <f>VLOOKUP(Table1[[#This Row],[Project Code]],'[6]Combined Nov''25'!$E:$K,7,FALSE)</f>
        <v>#N/A</v>
      </c>
      <c r="O28" s="57" t="s">
        <v>859</v>
      </c>
      <c r="P28" s="56" t="s">
        <v>872</v>
      </c>
      <c r="Q28" s="57" t="s">
        <v>887</v>
      </c>
      <c r="T28" s="57" t="e">
        <f>VLOOKUP(Table1[[#This Row],[Project Code]],'[6]Combined Nov''25'!$E:$P,12,FALSE)</f>
        <v>#N/A</v>
      </c>
      <c r="U28" s="57" t="e">
        <v>#N/A</v>
      </c>
      <c r="V28" s="56" t="e">
        <v>#N/A</v>
      </c>
      <c r="W28" s="60" t="e">
        <v>#N/A</v>
      </c>
      <c r="X28" s="56" t="s">
        <v>1490</v>
      </c>
      <c r="Y28" s="56" t="s">
        <v>1489</v>
      </c>
      <c r="Z28" s="56" t="s">
        <v>1490</v>
      </c>
      <c r="AA28" s="56" t="s">
        <v>1490</v>
      </c>
      <c r="AB28" s="56" t="s">
        <v>1490</v>
      </c>
      <c r="AC28" s="56" t="s">
        <v>1490</v>
      </c>
      <c r="AD28" s="56" t="s">
        <v>1490</v>
      </c>
      <c r="AE28" s="56" t="s">
        <v>1490</v>
      </c>
      <c r="AF28" s="56" t="s">
        <v>1490</v>
      </c>
      <c r="AG28" s="56" t="s">
        <v>1490</v>
      </c>
      <c r="AH28" s="56" t="s">
        <v>1490</v>
      </c>
      <c r="AI28" s="56" t="s">
        <v>1490</v>
      </c>
      <c r="AJ28" s="56" t="s">
        <v>1490</v>
      </c>
      <c r="AK28" s="56" t="s">
        <v>1490</v>
      </c>
    </row>
    <row r="29" spans="1:37" s="56" customFormat="1" ht="30" customHeight="1" x14ac:dyDescent="0.25">
      <c r="A29" s="56">
        <v>28</v>
      </c>
      <c r="B29" s="57" t="s">
        <v>59</v>
      </c>
      <c r="C29" s="57" t="s">
        <v>350</v>
      </c>
      <c r="H29" s="58"/>
      <c r="I29" s="59"/>
      <c r="J29" s="56" t="e">
        <f>VLOOKUP(Table1[[#This Row],[Project Code]],'[6]Combined Nov''25'!$E:$O,10,FALSE)</f>
        <v>#N/A</v>
      </c>
      <c r="K29" s="57" t="s">
        <v>675</v>
      </c>
      <c r="L29" s="57" t="s">
        <v>780</v>
      </c>
      <c r="M29" s="56" t="s">
        <v>844</v>
      </c>
      <c r="N29" s="73" t="e">
        <f>VLOOKUP(Table1[[#This Row],[Project Code]],'[6]Combined Nov''25'!$E:$K,7,FALSE)</f>
        <v>#N/A</v>
      </c>
      <c r="O29" s="57" t="s">
        <v>859</v>
      </c>
      <c r="P29" s="56" t="s">
        <v>867</v>
      </c>
      <c r="Q29" s="57" t="s">
        <v>887</v>
      </c>
      <c r="T29" s="57" t="e">
        <f>VLOOKUP(Table1[[#This Row],[Project Code]],'[6]Combined Nov''25'!$E:$P,12,FALSE)</f>
        <v>#N/A</v>
      </c>
      <c r="U29" s="57" t="e">
        <v>#N/A</v>
      </c>
      <c r="V29" s="56" t="e">
        <v>#N/A</v>
      </c>
      <c r="W29" s="60" t="e">
        <v>#N/A</v>
      </c>
      <c r="X29" s="56" t="s">
        <v>1490</v>
      </c>
      <c r="Y29" s="56" t="s">
        <v>1489</v>
      </c>
      <c r="Z29" s="56" t="s">
        <v>1490</v>
      </c>
      <c r="AA29" s="56" t="s">
        <v>1490</v>
      </c>
      <c r="AB29" s="56" t="s">
        <v>1490</v>
      </c>
      <c r="AC29" s="56" t="s">
        <v>1490</v>
      </c>
      <c r="AD29" s="56" t="s">
        <v>1490</v>
      </c>
      <c r="AE29" s="56" t="s">
        <v>1490</v>
      </c>
      <c r="AF29" s="56" t="s">
        <v>1490</v>
      </c>
      <c r="AG29" s="56" t="s">
        <v>1490</v>
      </c>
      <c r="AH29" s="56" t="s">
        <v>1490</v>
      </c>
      <c r="AI29" s="56" t="s">
        <v>1490</v>
      </c>
      <c r="AJ29" s="56" t="s">
        <v>1490</v>
      </c>
      <c r="AK29" s="56" t="s">
        <v>1490</v>
      </c>
    </row>
    <row r="30" spans="1:37" s="56" customFormat="1" ht="30" customHeight="1" x14ac:dyDescent="0.25">
      <c r="A30" s="56">
        <v>29</v>
      </c>
      <c r="B30" s="57" t="s">
        <v>60</v>
      </c>
      <c r="C30" s="57" t="s">
        <v>351</v>
      </c>
      <c r="H30" s="58"/>
      <c r="I30" s="59"/>
      <c r="J30" s="56" t="e">
        <f>VLOOKUP(Table1[[#This Row],[Project Code]],'[6]Combined Nov''25'!$E:$O,10,FALSE)</f>
        <v>#N/A</v>
      </c>
      <c r="K30" s="57" t="s">
        <v>675</v>
      </c>
      <c r="L30" s="57" t="s">
        <v>780</v>
      </c>
      <c r="M30" s="56" t="s">
        <v>844</v>
      </c>
      <c r="N30" s="73" t="e">
        <f>VLOOKUP(Table1[[#This Row],[Project Code]],'[6]Combined Nov''25'!$E:$K,7,FALSE)</f>
        <v>#N/A</v>
      </c>
      <c r="O30" s="57" t="s">
        <v>859</v>
      </c>
      <c r="P30" s="56" t="s">
        <v>867</v>
      </c>
      <c r="Q30" s="57" t="s">
        <v>887</v>
      </c>
      <c r="T30" s="57" t="e">
        <f>VLOOKUP(Table1[[#This Row],[Project Code]],'[6]Combined Nov''25'!$E:$P,12,FALSE)</f>
        <v>#N/A</v>
      </c>
      <c r="U30" s="57" t="e">
        <v>#N/A</v>
      </c>
      <c r="V30" s="56" t="e">
        <v>#N/A</v>
      </c>
      <c r="W30" s="60" t="e">
        <v>#N/A</v>
      </c>
      <c r="X30" s="56" t="s">
        <v>1490</v>
      </c>
      <c r="Y30" s="56" t="s">
        <v>1489</v>
      </c>
      <c r="Z30" s="56" t="s">
        <v>1490</v>
      </c>
      <c r="AA30" s="56" t="s">
        <v>1490</v>
      </c>
      <c r="AB30" s="56" t="s">
        <v>1490</v>
      </c>
      <c r="AC30" s="56" t="s">
        <v>1490</v>
      </c>
      <c r="AD30" s="56" t="s">
        <v>1490</v>
      </c>
      <c r="AE30" s="56" t="s">
        <v>1490</v>
      </c>
      <c r="AF30" s="56" t="s">
        <v>1490</v>
      </c>
      <c r="AG30" s="56" t="s">
        <v>1490</v>
      </c>
      <c r="AH30" s="56" t="s">
        <v>1490</v>
      </c>
      <c r="AI30" s="56" t="s">
        <v>1490</v>
      </c>
      <c r="AJ30" s="56" t="s">
        <v>1490</v>
      </c>
      <c r="AK30" s="56" t="s">
        <v>1490</v>
      </c>
    </row>
    <row r="31" spans="1:37" s="56" customFormat="1" ht="30" customHeight="1" x14ac:dyDescent="0.25">
      <c r="A31" s="56">
        <v>30</v>
      </c>
      <c r="B31" s="57" t="s">
        <v>61</v>
      </c>
      <c r="C31" s="57" t="s">
        <v>352</v>
      </c>
      <c r="H31" s="58"/>
      <c r="I31" s="59"/>
      <c r="J31" s="56" t="e">
        <f>VLOOKUP(Table1[[#This Row],[Project Code]],'[6]Combined Nov''25'!$E:$O,10,FALSE)</f>
        <v>#N/A</v>
      </c>
      <c r="K31" s="57" t="s">
        <v>675</v>
      </c>
      <c r="L31" s="57" t="s">
        <v>780</v>
      </c>
      <c r="M31" s="56" t="s">
        <v>844</v>
      </c>
      <c r="N31" s="73" t="e">
        <f>VLOOKUP(Table1[[#This Row],[Project Code]],'[6]Combined Nov''25'!$E:$K,7,FALSE)</f>
        <v>#N/A</v>
      </c>
      <c r="O31" s="57" t="s">
        <v>857</v>
      </c>
      <c r="P31" s="56" t="s">
        <v>867</v>
      </c>
      <c r="Q31" s="57" t="s">
        <v>887</v>
      </c>
      <c r="T31" s="57" t="e">
        <f>VLOOKUP(Table1[[#This Row],[Project Code]],'[6]Combined Nov''25'!$E:$P,12,FALSE)</f>
        <v>#N/A</v>
      </c>
      <c r="U31" s="57" t="e">
        <v>#N/A</v>
      </c>
      <c r="V31" s="56" t="e">
        <v>#N/A</v>
      </c>
      <c r="W31" s="60" t="e">
        <v>#N/A</v>
      </c>
      <c r="X31" s="56" t="s">
        <v>1491</v>
      </c>
      <c r="Y31" s="56" t="s">
        <v>1491</v>
      </c>
      <c r="Z31" s="56" t="s">
        <v>1491</v>
      </c>
      <c r="AA31" s="56" t="s">
        <v>1491</v>
      </c>
      <c r="AB31" s="56" t="s">
        <v>1491</v>
      </c>
      <c r="AC31" s="56" t="s">
        <v>1491</v>
      </c>
      <c r="AD31" s="56" t="s">
        <v>1490</v>
      </c>
      <c r="AE31" s="56" t="s">
        <v>1490</v>
      </c>
      <c r="AF31" s="56" t="s">
        <v>1490</v>
      </c>
      <c r="AG31" s="56" t="s">
        <v>1490</v>
      </c>
      <c r="AH31" s="56" t="s">
        <v>1490</v>
      </c>
      <c r="AI31" s="56" t="s">
        <v>1490</v>
      </c>
      <c r="AJ31" s="56" t="s">
        <v>1490</v>
      </c>
      <c r="AK31" s="56" t="s">
        <v>1490</v>
      </c>
    </row>
    <row r="32" spans="1:37" s="56" customFormat="1" ht="30" customHeight="1" x14ac:dyDescent="0.25">
      <c r="A32" s="56">
        <v>31</v>
      </c>
      <c r="B32" s="57" t="s">
        <v>62</v>
      </c>
      <c r="C32" s="57" t="s">
        <v>353</v>
      </c>
      <c r="H32" s="58"/>
      <c r="I32" s="59"/>
      <c r="J32" s="56" t="e">
        <f>VLOOKUP(Table1[[#This Row],[Project Code]],'[6]Combined Nov''25'!$E:$O,10,FALSE)</f>
        <v>#N/A</v>
      </c>
      <c r="K32" s="57" t="s">
        <v>676</v>
      </c>
      <c r="L32" s="57" t="s">
        <v>767</v>
      </c>
      <c r="M32" s="56" t="s">
        <v>844</v>
      </c>
      <c r="N32" s="73" t="e">
        <f>VLOOKUP(Table1[[#This Row],[Project Code]],'[6]Combined Nov''25'!$E:$K,7,FALSE)</f>
        <v>#N/A</v>
      </c>
      <c r="O32" s="57" t="s">
        <v>859</v>
      </c>
      <c r="P32" s="56" t="s">
        <v>865</v>
      </c>
      <c r="Q32" s="57" t="s">
        <v>887</v>
      </c>
      <c r="T32" s="57" t="e">
        <f>VLOOKUP(Table1[[#This Row],[Project Code]],'[6]Combined Nov''25'!$E:$P,12,FALSE)</f>
        <v>#N/A</v>
      </c>
      <c r="U32" s="57" t="e">
        <v>#N/A</v>
      </c>
      <c r="V32" s="56" t="e">
        <v>#N/A</v>
      </c>
      <c r="W32" s="60" t="e">
        <v>#N/A</v>
      </c>
      <c r="X32" s="56" t="s">
        <v>1491</v>
      </c>
      <c r="Y32" s="56" t="s">
        <v>1491</v>
      </c>
      <c r="Z32" s="56" t="s">
        <v>1491</v>
      </c>
      <c r="AA32" s="56" t="s">
        <v>1490</v>
      </c>
      <c r="AB32" s="56" t="s">
        <v>1491</v>
      </c>
      <c r="AC32" s="56" t="s">
        <v>1491</v>
      </c>
      <c r="AD32" s="56" t="s">
        <v>1491</v>
      </c>
      <c r="AE32" s="56" t="s">
        <v>1490</v>
      </c>
      <c r="AF32" s="56" t="s">
        <v>1490</v>
      </c>
      <c r="AG32" s="56" t="s">
        <v>1490</v>
      </c>
      <c r="AH32" s="56" t="s">
        <v>1490</v>
      </c>
      <c r="AI32" s="56" t="s">
        <v>1490</v>
      </c>
      <c r="AJ32" s="56" t="s">
        <v>1490</v>
      </c>
      <c r="AK32" s="56" t="s">
        <v>1490</v>
      </c>
    </row>
    <row r="33" spans="1:37" s="56" customFormat="1" ht="30" customHeight="1" x14ac:dyDescent="0.25">
      <c r="A33" s="56">
        <v>32</v>
      </c>
      <c r="B33" s="57" t="s">
        <v>63</v>
      </c>
      <c r="C33" s="57" t="s">
        <v>354</v>
      </c>
      <c r="H33" s="58"/>
      <c r="I33" s="59"/>
      <c r="J33" s="56" t="e">
        <f>VLOOKUP(Table1[[#This Row],[Project Code]],'[6]Combined Nov''25'!$E:$O,10,FALSE)</f>
        <v>#N/A</v>
      </c>
      <c r="K33" s="57" t="s">
        <v>677</v>
      </c>
      <c r="L33" s="57" t="s">
        <v>781</v>
      </c>
      <c r="M33" s="56" t="s">
        <v>844</v>
      </c>
      <c r="N33" s="73" t="e">
        <f>VLOOKUP(Table1[[#This Row],[Project Code]],'[6]Combined Nov''25'!$E:$K,7,FALSE)</f>
        <v>#N/A</v>
      </c>
      <c r="O33" s="57" t="s">
        <v>859</v>
      </c>
      <c r="P33" s="56" t="s">
        <v>870</v>
      </c>
      <c r="Q33" s="57" t="s">
        <v>887</v>
      </c>
      <c r="T33" s="57" t="e">
        <f>VLOOKUP(Table1[[#This Row],[Project Code]],'[6]Combined Nov''25'!$E:$P,12,FALSE)</f>
        <v>#N/A</v>
      </c>
      <c r="U33" s="57" t="e">
        <v>#N/A</v>
      </c>
      <c r="V33" s="56" t="e">
        <v>#N/A</v>
      </c>
      <c r="W33" s="60" t="e">
        <v>#N/A</v>
      </c>
      <c r="X33" s="56" t="s">
        <v>1491</v>
      </c>
      <c r="Y33" s="56" t="s">
        <v>1490</v>
      </c>
      <c r="Z33" s="56" t="s">
        <v>1491</v>
      </c>
      <c r="AA33" s="56" t="s">
        <v>1491</v>
      </c>
      <c r="AB33" s="56" t="s">
        <v>1491</v>
      </c>
      <c r="AC33" s="56" t="s">
        <v>1491</v>
      </c>
      <c r="AD33" s="56" t="s">
        <v>1490</v>
      </c>
      <c r="AE33" s="56" t="s">
        <v>1490</v>
      </c>
      <c r="AF33" s="56" t="s">
        <v>1490</v>
      </c>
      <c r="AG33" s="56" t="s">
        <v>1490</v>
      </c>
      <c r="AH33" s="56" t="s">
        <v>1490</v>
      </c>
      <c r="AI33" s="56" t="s">
        <v>1490</v>
      </c>
      <c r="AJ33" s="56" t="s">
        <v>1490</v>
      </c>
      <c r="AK33" s="56" t="s">
        <v>1490</v>
      </c>
    </row>
    <row r="34" spans="1:37" s="56" customFormat="1" ht="30" customHeight="1" x14ac:dyDescent="0.25">
      <c r="A34" s="56">
        <v>33</v>
      </c>
      <c r="B34" s="57" t="s">
        <v>64</v>
      </c>
      <c r="C34" s="57" t="s">
        <v>355</v>
      </c>
      <c r="H34" s="58"/>
      <c r="I34" s="59"/>
      <c r="J34" s="56" t="e">
        <f>VLOOKUP(Table1[[#This Row],[Project Code]],'[6]Combined Nov''25'!$E:$O,10,FALSE)</f>
        <v>#N/A</v>
      </c>
      <c r="K34" s="69" t="e">
        <f>VLOOKUP(Table1[[#This Row],[Project Code]],'[6]Combined Nov''25'!$E:$K,6,FALSE)</f>
        <v>#N/A</v>
      </c>
      <c r="L34" s="57" t="s">
        <v>696</v>
      </c>
      <c r="M34" s="56" t="s">
        <v>843</v>
      </c>
      <c r="N34" s="73" t="e">
        <f>VLOOKUP(Table1[[#This Row],[Project Code]],'[6]Combined Nov''25'!$E:$K,7,FALSE)</f>
        <v>#N/A</v>
      </c>
      <c r="O34" s="57" t="s">
        <v>863</v>
      </c>
      <c r="P34" s="56" t="s">
        <v>864</v>
      </c>
      <c r="Q34" s="57" t="s">
        <v>886</v>
      </c>
      <c r="T34" s="57" t="e">
        <f>VLOOKUP(Table1[[#This Row],[Project Code]],'[6]Combined Nov''25'!$E:$P,12,FALSE)</f>
        <v>#N/A</v>
      </c>
      <c r="U34" s="57" t="e">
        <v>#N/A</v>
      </c>
      <c r="V34" s="56" t="e">
        <v>#N/A</v>
      </c>
      <c r="W34" s="60" t="e">
        <v>#N/A</v>
      </c>
      <c r="X34" s="56" t="s">
        <v>1491</v>
      </c>
      <c r="Y34" s="56" t="s">
        <v>1491</v>
      </c>
      <c r="Z34" s="56" t="s">
        <v>1491</v>
      </c>
      <c r="AA34" s="56" t="s">
        <v>1490</v>
      </c>
      <c r="AB34" s="56" t="s">
        <v>1491</v>
      </c>
      <c r="AC34" s="56" t="s">
        <v>1491</v>
      </c>
      <c r="AD34" s="56" t="s">
        <v>1490</v>
      </c>
      <c r="AE34" s="56" t="s">
        <v>1490</v>
      </c>
      <c r="AF34" s="56" t="s">
        <v>1490</v>
      </c>
      <c r="AG34" s="56" t="s">
        <v>1490</v>
      </c>
      <c r="AH34" s="56" t="s">
        <v>1490</v>
      </c>
      <c r="AI34" s="56" t="s">
        <v>1490</v>
      </c>
      <c r="AJ34" s="56" t="s">
        <v>1490</v>
      </c>
      <c r="AK34" s="56" t="s">
        <v>1490</v>
      </c>
    </row>
    <row r="35" spans="1:37" s="56" customFormat="1" ht="30" customHeight="1" x14ac:dyDescent="0.25">
      <c r="A35" s="56">
        <v>34</v>
      </c>
      <c r="B35" s="57" t="s">
        <v>65</v>
      </c>
      <c r="C35" s="57" t="s">
        <v>356</v>
      </c>
      <c r="H35" s="58"/>
      <c r="I35" s="59"/>
      <c r="J35" s="56" t="e">
        <f>VLOOKUP(Table1[[#This Row],[Project Code]],'[6]Combined Nov''25'!$E:$O,10,FALSE)</f>
        <v>#N/A</v>
      </c>
      <c r="K35" s="69" t="e">
        <f>VLOOKUP(Table1[[#This Row],[Project Code]],'[6]Combined Nov''25'!$E:$K,6,FALSE)</f>
        <v>#N/A</v>
      </c>
      <c r="L35" s="57" t="s">
        <v>782</v>
      </c>
      <c r="M35" s="56" t="s">
        <v>843</v>
      </c>
      <c r="N35" s="73" t="e">
        <f>VLOOKUP(Table1[[#This Row],[Project Code]],'[6]Combined Nov''25'!$E:$K,7,FALSE)</f>
        <v>#N/A</v>
      </c>
      <c r="O35" s="57" t="s">
        <v>857</v>
      </c>
      <c r="P35" s="56" t="s">
        <v>864</v>
      </c>
      <c r="Q35" s="57" t="s">
        <v>887</v>
      </c>
      <c r="T35" s="57" t="e">
        <f>VLOOKUP(Table1[[#This Row],[Project Code]],'[6]Combined Nov''25'!$E:$P,12,FALSE)</f>
        <v>#N/A</v>
      </c>
      <c r="U35" s="57" t="e">
        <v>#N/A</v>
      </c>
      <c r="V35" s="56" t="e">
        <v>#N/A</v>
      </c>
      <c r="W35" s="60" t="e">
        <v>#N/A</v>
      </c>
      <c r="X35" s="56" t="s">
        <v>1491</v>
      </c>
      <c r="Y35" s="56" t="s">
        <v>1491</v>
      </c>
      <c r="Z35" s="56" t="s">
        <v>1491</v>
      </c>
      <c r="AA35" s="56" t="s">
        <v>1490</v>
      </c>
      <c r="AB35" s="56" t="s">
        <v>1491</v>
      </c>
      <c r="AC35" s="56" t="s">
        <v>1491</v>
      </c>
      <c r="AD35" s="56" t="s">
        <v>1491</v>
      </c>
      <c r="AE35" s="56" t="s">
        <v>1490</v>
      </c>
      <c r="AF35" s="56" t="s">
        <v>1490</v>
      </c>
      <c r="AG35" s="56" t="s">
        <v>1490</v>
      </c>
      <c r="AH35" s="56" t="s">
        <v>1490</v>
      </c>
      <c r="AI35" s="56" t="s">
        <v>1490</v>
      </c>
      <c r="AJ35" s="56" t="s">
        <v>1490</v>
      </c>
      <c r="AK35" s="56" t="s">
        <v>1490</v>
      </c>
    </row>
    <row r="36" spans="1:37" s="56" customFormat="1" ht="30" customHeight="1" x14ac:dyDescent="0.25">
      <c r="A36" s="56">
        <v>35</v>
      </c>
      <c r="B36" s="57" t="s">
        <v>66</v>
      </c>
      <c r="C36" s="57" t="s">
        <v>357</v>
      </c>
      <c r="H36" s="58"/>
      <c r="I36" s="59"/>
      <c r="J36" s="56" t="e">
        <f>VLOOKUP(Table1[[#This Row],[Project Code]],'[6]Combined Nov''25'!$E:$O,10,FALSE)</f>
        <v>#N/A</v>
      </c>
      <c r="K36" s="69" t="e">
        <f>VLOOKUP(Table1[[#This Row],[Project Code]],'[6]Combined Nov''25'!$E:$K,6,FALSE)</f>
        <v>#N/A</v>
      </c>
      <c r="L36" s="57" t="s">
        <v>782</v>
      </c>
      <c r="M36" s="56" t="s">
        <v>843</v>
      </c>
      <c r="N36" s="73" t="e">
        <f>VLOOKUP(Table1[[#This Row],[Project Code]],'[6]Combined Nov''25'!$E:$K,7,FALSE)</f>
        <v>#N/A</v>
      </c>
      <c r="O36" s="57" t="s">
        <v>857</v>
      </c>
      <c r="P36" s="56" t="s">
        <v>864</v>
      </c>
      <c r="Q36" s="57" t="s">
        <v>887</v>
      </c>
      <c r="T36" s="57" t="e">
        <f>VLOOKUP(Table1[[#This Row],[Project Code]],'[6]Combined Nov''25'!$E:$P,12,FALSE)</f>
        <v>#N/A</v>
      </c>
      <c r="U36" s="57" t="e">
        <v>#N/A</v>
      </c>
      <c r="V36" s="56" t="e">
        <v>#N/A</v>
      </c>
      <c r="W36" s="60" t="e">
        <v>#N/A</v>
      </c>
      <c r="X36" s="56" t="s">
        <v>1490</v>
      </c>
      <c r="Y36" s="56" t="s">
        <v>1489</v>
      </c>
      <c r="Z36" s="56" t="s">
        <v>1490</v>
      </c>
      <c r="AA36" s="56" t="s">
        <v>1490</v>
      </c>
      <c r="AB36" s="56" t="s">
        <v>1490</v>
      </c>
      <c r="AC36" s="56" t="s">
        <v>1490</v>
      </c>
      <c r="AD36" s="56" t="s">
        <v>1490</v>
      </c>
      <c r="AE36" s="56" t="s">
        <v>1490</v>
      </c>
      <c r="AF36" s="56" t="s">
        <v>1490</v>
      </c>
      <c r="AG36" s="56" t="s">
        <v>1490</v>
      </c>
      <c r="AH36" s="56" t="s">
        <v>1490</v>
      </c>
      <c r="AI36" s="56" t="s">
        <v>1490</v>
      </c>
      <c r="AJ36" s="56" t="s">
        <v>1490</v>
      </c>
      <c r="AK36" s="56" t="s">
        <v>1490</v>
      </c>
    </row>
    <row r="37" spans="1:37" s="56" customFormat="1" ht="30" customHeight="1" x14ac:dyDescent="0.25">
      <c r="A37" s="56">
        <v>36</v>
      </c>
      <c r="B37" s="57" t="s">
        <v>67</v>
      </c>
      <c r="C37" s="57" t="s">
        <v>358</v>
      </c>
      <c r="H37" s="58"/>
      <c r="I37" s="59"/>
      <c r="J37" s="56" t="e">
        <f>VLOOKUP(Table1[[#This Row],[Project Code]],'[6]Combined Nov''25'!$E:$O,10,FALSE)</f>
        <v>#N/A</v>
      </c>
      <c r="K37" s="69" t="e">
        <f>VLOOKUP(Table1[[#This Row],[Project Code]],'[6]Combined Nov''25'!$E:$K,6,FALSE)</f>
        <v>#N/A</v>
      </c>
      <c r="L37" s="57" t="s">
        <v>783</v>
      </c>
      <c r="M37" s="56" t="s">
        <v>843</v>
      </c>
      <c r="N37" s="73" t="e">
        <f>VLOOKUP(Table1[[#This Row],[Project Code]],'[6]Combined Nov''25'!$E:$K,7,FALSE)</f>
        <v>#N/A</v>
      </c>
      <c r="O37" s="57" t="s">
        <v>863</v>
      </c>
      <c r="P37" s="56" t="s">
        <v>864</v>
      </c>
      <c r="Q37" s="57" t="s">
        <v>888</v>
      </c>
      <c r="T37" s="57" t="e">
        <f>VLOOKUP(Table1[[#This Row],[Project Code]],'[6]Combined Nov''25'!$E:$P,12,FALSE)</f>
        <v>#N/A</v>
      </c>
      <c r="U37" s="57" t="e">
        <v>#N/A</v>
      </c>
      <c r="V37" s="56" t="e">
        <v>#N/A</v>
      </c>
      <c r="W37" s="60" t="e">
        <v>#N/A</v>
      </c>
      <c r="X37" s="56" t="s">
        <v>1491</v>
      </c>
      <c r="Y37" s="56" t="s">
        <v>1491</v>
      </c>
      <c r="Z37" s="56" t="s">
        <v>1491</v>
      </c>
      <c r="AA37" s="56" t="s">
        <v>1490</v>
      </c>
      <c r="AB37" s="56" t="s">
        <v>1491</v>
      </c>
      <c r="AC37" s="56" t="s">
        <v>1491</v>
      </c>
      <c r="AD37" s="56" t="s">
        <v>1491</v>
      </c>
      <c r="AE37" s="56" t="s">
        <v>1490</v>
      </c>
      <c r="AF37" s="56" t="s">
        <v>1490</v>
      </c>
      <c r="AG37" s="56" t="s">
        <v>1490</v>
      </c>
      <c r="AH37" s="56" t="s">
        <v>1490</v>
      </c>
      <c r="AI37" s="56" t="s">
        <v>1490</v>
      </c>
      <c r="AJ37" s="56" t="s">
        <v>1490</v>
      </c>
      <c r="AK37" s="56" t="s">
        <v>1490</v>
      </c>
    </row>
    <row r="38" spans="1:37" s="56" customFormat="1" ht="30" customHeight="1" x14ac:dyDescent="0.25">
      <c r="A38" s="56">
        <v>37</v>
      </c>
      <c r="B38" s="57" t="s">
        <v>68</v>
      </c>
      <c r="C38" s="57" t="s">
        <v>359</v>
      </c>
      <c r="H38" s="58"/>
      <c r="I38" s="59"/>
      <c r="J38" s="56" t="e">
        <f>VLOOKUP(Table1[[#This Row],[Project Code]],'[6]Combined Nov''25'!$E:$O,10,FALSE)</f>
        <v>#N/A</v>
      </c>
      <c r="K38" s="69" t="e">
        <f>VLOOKUP(Table1[[#This Row],[Project Code]],'[6]Combined Nov''25'!$E:$K,6,FALSE)</f>
        <v>#N/A</v>
      </c>
      <c r="L38" s="57" t="s">
        <v>695</v>
      </c>
      <c r="M38" s="56" t="s">
        <v>843</v>
      </c>
      <c r="N38" s="73" t="e">
        <f>VLOOKUP(Table1[[#This Row],[Project Code]],'[6]Combined Nov''25'!$E:$K,7,FALSE)</f>
        <v>#N/A</v>
      </c>
      <c r="O38" s="57" t="s">
        <v>863</v>
      </c>
      <c r="P38" s="56" t="s">
        <v>864</v>
      </c>
      <c r="Q38" s="57" t="s">
        <v>886</v>
      </c>
      <c r="T38" s="57" t="e">
        <f>VLOOKUP(Table1[[#This Row],[Project Code]],'[6]Combined Nov''25'!$E:$P,12,FALSE)</f>
        <v>#N/A</v>
      </c>
      <c r="U38" s="57" t="e">
        <v>#N/A</v>
      </c>
      <c r="V38" s="56" t="e">
        <v>#N/A</v>
      </c>
      <c r="W38" s="60" t="e">
        <v>#N/A</v>
      </c>
      <c r="X38" s="56" t="s">
        <v>1491</v>
      </c>
      <c r="Y38" s="56" t="s">
        <v>1489</v>
      </c>
      <c r="Z38" s="56" t="s">
        <v>1490</v>
      </c>
      <c r="AA38" s="56" t="s">
        <v>1490</v>
      </c>
      <c r="AB38" s="56" t="s">
        <v>1490</v>
      </c>
      <c r="AC38" s="56" t="s">
        <v>1490</v>
      </c>
      <c r="AD38" s="56" t="s">
        <v>1490</v>
      </c>
      <c r="AE38" s="56" t="s">
        <v>1490</v>
      </c>
      <c r="AF38" s="56" t="s">
        <v>1490</v>
      </c>
      <c r="AG38" s="56" t="s">
        <v>1490</v>
      </c>
      <c r="AH38" s="56" t="s">
        <v>1490</v>
      </c>
      <c r="AI38" s="56" t="s">
        <v>1490</v>
      </c>
      <c r="AJ38" s="56" t="s">
        <v>1490</v>
      </c>
      <c r="AK38" s="56" t="s">
        <v>1490</v>
      </c>
    </row>
    <row r="39" spans="1:37" s="56" customFormat="1" ht="30" customHeight="1" x14ac:dyDescent="0.25">
      <c r="A39" s="56">
        <v>38</v>
      </c>
      <c r="B39" s="57" t="s">
        <v>69</v>
      </c>
      <c r="C39" s="57" t="s">
        <v>360</v>
      </c>
      <c r="H39" s="58"/>
      <c r="I39" s="59"/>
      <c r="J39" s="56" t="e">
        <f>VLOOKUP(Table1[[#This Row],[Project Code]],'[6]Combined Nov''25'!$E:$O,10,FALSE)</f>
        <v>#N/A</v>
      </c>
      <c r="K39" s="69" t="e">
        <f>VLOOKUP(Table1[[#This Row],[Project Code]],'[6]Combined Nov''25'!$E:$K,6,FALSE)</f>
        <v>#N/A</v>
      </c>
      <c r="L39" s="57" t="s">
        <v>695</v>
      </c>
      <c r="M39" s="56" t="s">
        <v>843</v>
      </c>
      <c r="N39" s="73" t="e">
        <f>VLOOKUP(Table1[[#This Row],[Project Code]],'[6]Combined Nov''25'!$E:$K,7,FALSE)</f>
        <v>#N/A</v>
      </c>
      <c r="O39" s="57" t="s">
        <v>863</v>
      </c>
      <c r="P39" s="56" t="s">
        <v>864</v>
      </c>
      <c r="Q39" s="57" t="s">
        <v>888</v>
      </c>
      <c r="T39" s="57" t="e">
        <f>VLOOKUP(Table1[[#This Row],[Project Code]],'[6]Combined Nov''25'!$E:$P,12,FALSE)</f>
        <v>#N/A</v>
      </c>
      <c r="U39" s="57" t="e">
        <v>#N/A</v>
      </c>
      <c r="V39" s="56" t="e">
        <v>#N/A</v>
      </c>
      <c r="W39" s="60" t="e">
        <v>#N/A</v>
      </c>
      <c r="X39" s="56" t="s">
        <v>1490</v>
      </c>
      <c r="Y39" s="56" t="s">
        <v>1489</v>
      </c>
      <c r="Z39" s="56" t="s">
        <v>1490</v>
      </c>
      <c r="AA39" s="56" t="s">
        <v>1490</v>
      </c>
      <c r="AB39" s="56" t="s">
        <v>1490</v>
      </c>
      <c r="AC39" s="56" t="s">
        <v>1490</v>
      </c>
      <c r="AD39" s="56" t="s">
        <v>1490</v>
      </c>
      <c r="AE39" s="56" t="s">
        <v>1490</v>
      </c>
      <c r="AF39" s="56" t="s">
        <v>1490</v>
      </c>
      <c r="AG39" s="56" t="s">
        <v>1490</v>
      </c>
      <c r="AH39" s="56" t="s">
        <v>1490</v>
      </c>
      <c r="AI39" s="56" t="s">
        <v>1490</v>
      </c>
      <c r="AJ39" s="56" t="s">
        <v>1490</v>
      </c>
      <c r="AK39" s="56" t="s">
        <v>1490</v>
      </c>
    </row>
    <row r="40" spans="1:37" s="56" customFormat="1" ht="30" customHeight="1" x14ac:dyDescent="0.25">
      <c r="A40" s="56">
        <v>39</v>
      </c>
      <c r="B40" s="57" t="s">
        <v>70</v>
      </c>
      <c r="C40" s="57" t="s">
        <v>361</v>
      </c>
      <c r="H40" s="58"/>
      <c r="I40" s="59"/>
      <c r="J40" s="56" t="e">
        <f>VLOOKUP(Table1[[#This Row],[Project Code]],'[6]Combined Nov''25'!$E:$O,10,FALSE)</f>
        <v>#N/A</v>
      </c>
      <c r="K40" s="69" t="e">
        <f>VLOOKUP(Table1[[#This Row],[Project Code]],'[6]Combined Nov''25'!$E:$K,6,FALSE)</f>
        <v>#N/A</v>
      </c>
      <c r="L40" s="57" t="s">
        <v>695</v>
      </c>
      <c r="M40" s="56" t="s">
        <v>843</v>
      </c>
      <c r="N40" s="73" t="e">
        <f>VLOOKUP(Table1[[#This Row],[Project Code]],'[6]Combined Nov''25'!$E:$K,7,FALSE)</f>
        <v>#N/A</v>
      </c>
      <c r="O40" s="57" t="s">
        <v>863</v>
      </c>
      <c r="P40" s="56" t="s">
        <v>864</v>
      </c>
      <c r="Q40" s="57" t="s">
        <v>886</v>
      </c>
      <c r="T40" s="57" t="e">
        <f>VLOOKUP(Table1[[#This Row],[Project Code]],'[6]Combined Nov''25'!$E:$P,12,FALSE)</f>
        <v>#N/A</v>
      </c>
      <c r="U40" s="57" t="e">
        <v>#N/A</v>
      </c>
      <c r="V40" s="56" t="e">
        <v>#N/A</v>
      </c>
      <c r="W40" s="60" t="e">
        <v>#N/A</v>
      </c>
      <c r="X40" s="56" t="s">
        <v>1490</v>
      </c>
      <c r="Y40" s="56" t="s">
        <v>1491</v>
      </c>
      <c r="Z40" s="56" t="s">
        <v>1491</v>
      </c>
      <c r="AA40" s="56" t="s">
        <v>1490</v>
      </c>
      <c r="AB40" s="56" t="s">
        <v>1491</v>
      </c>
      <c r="AC40" s="56" t="s">
        <v>1491</v>
      </c>
      <c r="AD40" s="56" t="s">
        <v>1490</v>
      </c>
      <c r="AE40" s="56" t="s">
        <v>1490</v>
      </c>
      <c r="AF40" s="56" t="s">
        <v>1490</v>
      </c>
      <c r="AG40" s="56" t="s">
        <v>1490</v>
      </c>
      <c r="AH40" s="56" t="s">
        <v>1490</v>
      </c>
      <c r="AI40" s="56" t="s">
        <v>1490</v>
      </c>
      <c r="AJ40" s="56" t="s">
        <v>1490</v>
      </c>
      <c r="AK40" s="56" t="s">
        <v>1490</v>
      </c>
    </row>
    <row r="41" spans="1:37" s="56" customFormat="1" ht="30" customHeight="1" x14ac:dyDescent="0.25">
      <c r="A41" s="56">
        <v>40</v>
      </c>
      <c r="B41" s="57" t="s">
        <v>71</v>
      </c>
      <c r="C41" s="57" t="s">
        <v>362</v>
      </c>
      <c r="H41" s="58"/>
      <c r="I41" s="59"/>
      <c r="J41" s="56" t="e">
        <f>VLOOKUP(Table1[[#This Row],[Project Code]],'[6]Combined Nov''25'!$E:$O,10,FALSE)</f>
        <v>#N/A</v>
      </c>
      <c r="K41" s="69" t="e">
        <f>VLOOKUP(Table1[[#This Row],[Project Code]],'[6]Combined Nov''25'!$E:$K,6,FALSE)</f>
        <v>#N/A</v>
      </c>
      <c r="L41" s="57" t="s">
        <v>784</v>
      </c>
      <c r="M41" s="56" t="s">
        <v>843</v>
      </c>
      <c r="N41" s="73" t="e">
        <f>VLOOKUP(Table1[[#This Row],[Project Code]],'[6]Combined Nov''25'!$E:$K,7,FALSE)</f>
        <v>#N/A</v>
      </c>
      <c r="O41" s="57" t="s">
        <v>863</v>
      </c>
      <c r="P41" s="56" t="s">
        <v>864</v>
      </c>
      <c r="Q41" s="57" t="s">
        <v>887</v>
      </c>
      <c r="T41" s="57" t="e">
        <f>VLOOKUP(Table1[[#This Row],[Project Code]],'[6]Combined Nov''25'!$E:$P,12,FALSE)</f>
        <v>#N/A</v>
      </c>
      <c r="U41" s="57" t="e">
        <v>#N/A</v>
      </c>
      <c r="V41" s="56" t="e">
        <v>#N/A</v>
      </c>
      <c r="W41" s="60" t="e">
        <v>#N/A</v>
      </c>
      <c r="X41" s="56" t="s">
        <v>1491</v>
      </c>
      <c r="Y41" s="56" t="s">
        <v>1491</v>
      </c>
      <c r="Z41" s="56" t="s">
        <v>1491</v>
      </c>
      <c r="AA41" s="56" t="s">
        <v>1490</v>
      </c>
      <c r="AB41" s="56" t="s">
        <v>1491</v>
      </c>
      <c r="AC41" s="56" t="s">
        <v>1491</v>
      </c>
      <c r="AD41" s="56" t="s">
        <v>1490</v>
      </c>
      <c r="AE41" s="56" t="s">
        <v>1490</v>
      </c>
      <c r="AF41" s="56" t="s">
        <v>1490</v>
      </c>
      <c r="AG41" s="56" t="s">
        <v>1490</v>
      </c>
      <c r="AH41" s="56" t="s">
        <v>1490</v>
      </c>
      <c r="AI41" s="56" t="s">
        <v>1490</v>
      </c>
      <c r="AJ41" s="56" t="s">
        <v>1490</v>
      </c>
      <c r="AK41" s="56" t="s">
        <v>1490</v>
      </c>
    </row>
    <row r="42" spans="1:37" s="56" customFormat="1" ht="30" customHeight="1" x14ac:dyDescent="0.25">
      <c r="A42" s="56">
        <v>41</v>
      </c>
      <c r="B42" s="57" t="s">
        <v>72</v>
      </c>
      <c r="C42" s="57" t="s">
        <v>363</v>
      </c>
      <c r="H42" s="58"/>
      <c r="I42" s="59"/>
      <c r="J42" s="56" t="e">
        <f>VLOOKUP(Table1[[#This Row],[Project Code]],'[6]Combined Nov''25'!$E:$O,10,FALSE)</f>
        <v>#N/A</v>
      </c>
      <c r="K42" s="69" t="e">
        <f>VLOOKUP(Table1[[#This Row],[Project Code]],'[6]Combined Nov''25'!$E:$K,6,FALSE)</f>
        <v>#N/A</v>
      </c>
      <c r="L42" s="57" t="s">
        <v>784</v>
      </c>
      <c r="M42" s="56" t="s">
        <v>843</v>
      </c>
      <c r="N42" s="73" t="e">
        <f>VLOOKUP(Table1[[#This Row],[Project Code]],'[6]Combined Nov''25'!$E:$K,7,FALSE)</f>
        <v>#N/A</v>
      </c>
      <c r="O42" s="57" t="s">
        <v>863</v>
      </c>
      <c r="P42" s="56" t="s">
        <v>864</v>
      </c>
      <c r="Q42" s="57" t="s">
        <v>886</v>
      </c>
      <c r="T42" s="57" t="e">
        <f>VLOOKUP(Table1[[#This Row],[Project Code]],'[6]Combined Nov''25'!$E:$P,12,FALSE)</f>
        <v>#N/A</v>
      </c>
      <c r="U42" s="57" t="e">
        <v>#N/A</v>
      </c>
      <c r="V42" s="56" t="e">
        <v>#N/A</v>
      </c>
      <c r="W42" s="60" t="e">
        <v>#N/A</v>
      </c>
      <c r="X42" s="56" t="s">
        <v>1490</v>
      </c>
      <c r="Y42" s="56" t="s">
        <v>1490</v>
      </c>
      <c r="Z42" s="56" t="s">
        <v>1491</v>
      </c>
      <c r="AA42" s="56" t="s">
        <v>1490</v>
      </c>
      <c r="AB42" s="56" t="s">
        <v>1491</v>
      </c>
      <c r="AC42" s="56" t="s">
        <v>1491</v>
      </c>
      <c r="AD42" s="56" t="s">
        <v>1490</v>
      </c>
      <c r="AE42" s="56" t="s">
        <v>1490</v>
      </c>
      <c r="AF42" s="56" t="s">
        <v>1490</v>
      </c>
      <c r="AG42" s="56" t="s">
        <v>1490</v>
      </c>
      <c r="AH42" s="56" t="s">
        <v>1490</v>
      </c>
      <c r="AI42" s="56" t="s">
        <v>1490</v>
      </c>
      <c r="AJ42" s="56" t="s">
        <v>1490</v>
      </c>
      <c r="AK42" s="56" t="s">
        <v>1490</v>
      </c>
    </row>
    <row r="43" spans="1:37" s="56" customFormat="1" ht="30" customHeight="1" x14ac:dyDescent="0.25">
      <c r="A43" s="56">
        <v>42</v>
      </c>
      <c r="B43" s="57" t="s">
        <v>73</v>
      </c>
      <c r="C43" s="57" t="s">
        <v>364</v>
      </c>
      <c r="H43" s="58"/>
      <c r="I43" s="59"/>
      <c r="J43" s="56" t="e">
        <f>VLOOKUP(Table1[[#This Row],[Project Code]],'[6]Combined Nov''25'!$E:$O,10,FALSE)</f>
        <v>#N/A</v>
      </c>
      <c r="K43" s="69" t="e">
        <f>VLOOKUP(Table1[[#This Row],[Project Code]],'[6]Combined Nov''25'!$E:$K,6,FALSE)</f>
        <v>#N/A</v>
      </c>
      <c r="L43" s="57" t="s">
        <v>785</v>
      </c>
      <c r="M43" s="56" t="s">
        <v>843</v>
      </c>
      <c r="N43" s="73" t="e">
        <f>VLOOKUP(Table1[[#This Row],[Project Code]],'[6]Combined Nov''25'!$E:$K,7,FALSE)</f>
        <v>#N/A</v>
      </c>
      <c r="O43" s="57" t="s">
        <v>856</v>
      </c>
      <c r="P43" s="56" t="s">
        <v>864</v>
      </c>
      <c r="Q43" s="57" t="s">
        <v>887</v>
      </c>
      <c r="T43" s="57" t="e">
        <f>VLOOKUP(Table1[[#This Row],[Project Code]],'[6]Combined Nov''25'!$E:$P,12,FALSE)</f>
        <v>#N/A</v>
      </c>
      <c r="U43" s="57" t="e">
        <v>#N/A</v>
      </c>
      <c r="V43" s="56" t="e">
        <v>#N/A</v>
      </c>
      <c r="W43" s="60" t="e">
        <v>#N/A</v>
      </c>
      <c r="X43" s="56" t="s">
        <v>1490</v>
      </c>
      <c r="Y43" s="56" t="s">
        <v>1489</v>
      </c>
      <c r="Z43" s="56" t="s">
        <v>1490</v>
      </c>
      <c r="AA43" s="56" t="s">
        <v>1490</v>
      </c>
      <c r="AB43" s="56" t="s">
        <v>1490</v>
      </c>
      <c r="AC43" s="56" t="s">
        <v>1490</v>
      </c>
      <c r="AD43" s="56" t="s">
        <v>1490</v>
      </c>
      <c r="AE43" s="56" t="s">
        <v>1490</v>
      </c>
      <c r="AF43" s="56" t="s">
        <v>1490</v>
      </c>
      <c r="AG43" s="56" t="s">
        <v>1490</v>
      </c>
      <c r="AH43" s="56" t="s">
        <v>1490</v>
      </c>
      <c r="AI43" s="56" t="s">
        <v>1490</v>
      </c>
      <c r="AJ43" s="56" t="s">
        <v>1490</v>
      </c>
      <c r="AK43" s="56" t="s">
        <v>1490</v>
      </c>
    </row>
    <row r="44" spans="1:37" s="56" customFormat="1" ht="30" customHeight="1" x14ac:dyDescent="0.25">
      <c r="A44" s="56">
        <v>43</v>
      </c>
      <c r="B44" s="57" t="s">
        <v>74</v>
      </c>
      <c r="C44" s="57" t="s">
        <v>365</v>
      </c>
      <c r="H44" s="58"/>
      <c r="I44" s="59"/>
      <c r="J44" s="56" t="e">
        <f>VLOOKUP(Table1[[#This Row],[Project Code]],'[6]Combined Nov''25'!$E:$O,10,FALSE)</f>
        <v>#N/A</v>
      </c>
      <c r="K44" s="69" t="e">
        <f>VLOOKUP(Table1[[#This Row],[Project Code]],'[6]Combined Nov''25'!$E:$K,6,FALSE)</f>
        <v>#N/A</v>
      </c>
      <c r="L44" s="57" t="s">
        <v>786</v>
      </c>
      <c r="M44" s="56" t="s">
        <v>843</v>
      </c>
      <c r="N44" s="73" t="e">
        <f>VLOOKUP(Table1[[#This Row],[Project Code]],'[6]Combined Nov''25'!$E:$K,7,FALSE)</f>
        <v>#N/A</v>
      </c>
      <c r="O44" s="57" t="s">
        <v>857</v>
      </c>
      <c r="P44" s="56" t="s">
        <v>864</v>
      </c>
      <c r="Q44" s="57" t="s">
        <v>886</v>
      </c>
      <c r="T44" s="57" t="e">
        <f>VLOOKUP(Table1[[#This Row],[Project Code]],'[6]Combined Nov''25'!$E:$P,12,FALSE)</f>
        <v>#N/A</v>
      </c>
      <c r="U44" s="57" t="e">
        <v>#N/A</v>
      </c>
      <c r="V44" s="56" t="e">
        <v>#N/A</v>
      </c>
      <c r="W44" s="60" t="e">
        <v>#N/A</v>
      </c>
      <c r="X44" s="56" t="s">
        <v>1490</v>
      </c>
      <c r="Y44" s="56" t="s">
        <v>1489</v>
      </c>
      <c r="Z44" s="56" t="s">
        <v>1490</v>
      </c>
      <c r="AA44" s="56" t="s">
        <v>1490</v>
      </c>
      <c r="AB44" s="56" t="s">
        <v>1490</v>
      </c>
      <c r="AC44" s="56" t="s">
        <v>1490</v>
      </c>
      <c r="AD44" s="56" t="s">
        <v>1490</v>
      </c>
      <c r="AE44" s="56" t="s">
        <v>1490</v>
      </c>
      <c r="AF44" s="56" t="s">
        <v>1490</v>
      </c>
      <c r="AG44" s="56" t="s">
        <v>1490</v>
      </c>
      <c r="AH44" s="56" t="s">
        <v>1490</v>
      </c>
      <c r="AI44" s="56" t="s">
        <v>1490</v>
      </c>
      <c r="AJ44" s="56" t="s">
        <v>1490</v>
      </c>
      <c r="AK44" s="56" t="s">
        <v>1490</v>
      </c>
    </row>
    <row r="45" spans="1:37" s="56" customFormat="1" ht="30" customHeight="1" x14ac:dyDescent="0.25">
      <c r="A45" s="56">
        <v>44</v>
      </c>
      <c r="B45" s="57" t="s">
        <v>75</v>
      </c>
      <c r="C45" s="57" t="s">
        <v>366</v>
      </c>
      <c r="D45" s="56" t="s">
        <v>617</v>
      </c>
      <c r="E45" s="56" t="s">
        <v>626</v>
      </c>
      <c r="G45" s="56" t="str">
        <f>VLOOKUP(Table1[[#This Row],[Project Code]],[1]Combined!$E:$I,5,FALSE)</f>
        <v>Fully Closed</v>
      </c>
      <c r="H45" s="58">
        <f>VLOOKUP(Table1[[#This Row],[Project Code]],'[2]Combined '!$E:$N,8,FALSE)</f>
        <v>42879</v>
      </c>
      <c r="I45" s="59"/>
      <c r="K45" s="69" t="str">
        <f>VLOOKUP(Table1[[#This Row],[Project Code]],'[6]Combined Nov''25'!$E:$K,6,FALSE)</f>
        <v>MoSJ</v>
      </c>
      <c r="L45" s="69" t="s">
        <v>787</v>
      </c>
      <c r="M45" s="73" t="s">
        <v>843</v>
      </c>
      <c r="N45" s="73" t="s">
        <v>896</v>
      </c>
      <c r="O45" s="69" t="s">
        <v>858</v>
      </c>
      <c r="P45" s="73" t="s">
        <v>865</v>
      </c>
      <c r="Q45" s="57" t="s">
        <v>887</v>
      </c>
      <c r="T45" s="57" t="s">
        <v>1076</v>
      </c>
      <c r="U45" s="57" t="s">
        <v>1105</v>
      </c>
      <c r="V45" s="56" t="s">
        <v>1057</v>
      </c>
      <c r="W45" s="60">
        <v>4804272</v>
      </c>
      <c r="X45" s="56" t="s">
        <v>1490</v>
      </c>
      <c r="Y45" s="56" t="s">
        <v>1489</v>
      </c>
      <c r="Z45" s="56" t="s">
        <v>1490</v>
      </c>
      <c r="AA45" s="56" t="s">
        <v>1490</v>
      </c>
      <c r="AB45" s="56" t="s">
        <v>1490</v>
      </c>
      <c r="AC45" s="56" t="s">
        <v>1490</v>
      </c>
      <c r="AD45" s="56" t="s">
        <v>1490</v>
      </c>
      <c r="AE45" s="56" t="s">
        <v>1490</v>
      </c>
      <c r="AF45" s="56" t="s">
        <v>1490</v>
      </c>
      <c r="AG45" s="56" t="s">
        <v>1490</v>
      </c>
      <c r="AH45" s="56" t="s">
        <v>1490</v>
      </c>
      <c r="AI45" s="56" t="s">
        <v>1490</v>
      </c>
      <c r="AJ45" s="56" t="s">
        <v>1490</v>
      </c>
      <c r="AK45" s="56" t="s">
        <v>1490</v>
      </c>
    </row>
    <row r="46" spans="1:37" s="56" customFormat="1" ht="30" customHeight="1" x14ac:dyDescent="0.25">
      <c r="A46" s="56">
        <v>45</v>
      </c>
      <c r="B46" s="57" t="s">
        <v>76</v>
      </c>
      <c r="C46" s="57" t="s">
        <v>367</v>
      </c>
      <c r="H46" s="58"/>
      <c r="I46" s="59"/>
      <c r="J46" s="56" t="e">
        <f>VLOOKUP(Table1[[#This Row],[Project Code]],'[6]Combined Nov''25'!$E:$O,10,FALSE)</f>
        <v>#N/A</v>
      </c>
      <c r="K46" s="69" t="e">
        <f>VLOOKUP(Table1[[#This Row],[Project Code]],'[6]Combined Nov''25'!$E:$K,6,FALSE)</f>
        <v>#N/A</v>
      </c>
      <c r="L46" s="57" t="s">
        <v>767</v>
      </c>
      <c r="M46" s="56" t="s">
        <v>844</v>
      </c>
      <c r="N46" s="73" t="e">
        <f>VLOOKUP(Table1[[#This Row],[Project Code]],'[6]Combined Nov''25'!$E:$K,7,FALSE)</f>
        <v>#N/A</v>
      </c>
      <c r="O46" s="57" t="s">
        <v>857</v>
      </c>
      <c r="P46" s="56" t="s">
        <v>865</v>
      </c>
      <c r="Q46" s="57" t="s">
        <v>887</v>
      </c>
      <c r="T46" s="57" t="e">
        <f>VLOOKUP(Table1[[#This Row],[Project Code]],'[6]Combined Nov''25'!$E:$P,12,FALSE)</f>
        <v>#N/A</v>
      </c>
      <c r="U46" s="57" t="e">
        <v>#N/A</v>
      </c>
      <c r="V46" s="56" t="e">
        <v>#N/A</v>
      </c>
      <c r="W46" s="60" t="e">
        <v>#N/A</v>
      </c>
      <c r="X46" s="56" t="s">
        <v>1490</v>
      </c>
      <c r="Y46" s="56" t="s">
        <v>1490</v>
      </c>
      <c r="Z46" s="56" t="s">
        <v>1491</v>
      </c>
      <c r="AA46" s="56" t="s">
        <v>1490</v>
      </c>
      <c r="AB46" s="56" t="s">
        <v>1491</v>
      </c>
      <c r="AC46" s="56" t="s">
        <v>1491</v>
      </c>
      <c r="AD46" s="56" t="s">
        <v>1490</v>
      </c>
      <c r="AE46" s="56" t="s">
        <v>1490</v>
      </c>
      <c r="AF46" s="56" t="s">
        <v>1490</v>
      </c>
      <c r="AG46" s="56" t="s">
        <v>1490</v>
      </c>
      <c r="AH46" s="56" t="s">
        <v>1490</v>
      </c>
      <c r="AI46" s="56" t="s">
        <v>1490</v>
      </c>
      <c r="AJ46" s="56" t="s">
        <v>1490</v>
      </c>
      <c r="AK46" s="56" t="s">
        <v>1490</v>
      </c>
    </row>
    <row r="47" spans="1:37" s="56" customFormat="1" ht="30" customHeight="1" x14ac:dyDescent="0.25">
      <c r="A47" s="56">
        <v>46</v>
      </c>
      <c r="B47" s="57" t="s">
        <v>77</v>
      </c>
      <c r="C47" s="57" t="s">
        <v>368</v>
      </c>
      <c r="H47" s="58"/>
      <c r="I47" s="59"/>
      <c r="J47" s="56" t="e">
        <f>VLOOKUP(Table1[[#This Row],[Project Code]],'[6]Combined Nov''25'!$E:$O,10,FALSE)</f>
        <v>#N/A</v>
      </c>
      <c r="K47" s="57" t="s">
        <v>678</v>
      </c>
      <c r="L47" s="57" t="s">
        <v>788</v>
      </c>
      <c r="M47" s="56" t="s">
        <v>843</v>
      </c>
      <c r="N47" s="73" t="e">
        <f>VLOOKUP(Table1[[#This Row],[Project Code]],'[6]Combined Nov''25'!$E:$K,7,FALSE)</f>
        <v>#N/A</v>
      </c>
      <c r="O47" s="57" t="s">
        <v>857</v>
      </c>
      <c r="P47" s="56" t="s">
        <v>864</v>
      </c>
      <c r="Q47" s="57" t="s">
        <v>887</v>
      </c>
      <c r="T47" s="57" t="e">
        <f>VLOOKUP(Table1[[#This Row],[Project Code]],'[6]Combined Nov''25'!$E:$P,12,FALSE)</f>
        <v>#N/A</v>
      </c>
      <c r="U47" s="57" t="e">
        <v>#N/A</v>
      </c>
      <c r="V47" s="56" t="e">
        <v>#N/A</v>
      </c>
      <c r="W47" s="60" t="e">
        <v>#N/A</v>
      </c>
      <c r="X47" s="56" t="s">
        <v>1490</v>
      </c>
      <c r="Y47" s="56" t="s">
        <v>1489</v>
      </c>
      <c r="Z47" s="56" t="s">
        <v>1490</v>
      </c>
      <c r="AA47" s="56" t="s">
        <v>1490</v>
      </c>
      <c r="AB47" s="56" t="s">
        <v>1490</v>
      </c>
      <c r="AC47" s="56" t="s">
        <v>1490</v>
      </c>
      <c r="AD47" s="56" t="s">
        <v>1490</v>
      </c>
      <c r="AE47" s="56" t="s">
        <v>1490</v>
      </c>
      <c r="AF47" s="56" t="s">
        <v>1490</v>
      </c>
      <c r="AG47" s="56" t="s">
        <v>1490</v>
      </c>
      <c r="AH47" s="56" t="s">
        <v>1490</v>
      </c>
      <c r="AI47" s="56" t="s">
        <v>1490</v>
      </c>
      <c r="AJ47" s="56" t="s">
        <v>1490</v>
      </c>
      <c r="AK47" s="56" t="s">
        <v>1490</v>
      </c>
    </row>
    <row r="48" spans="1:37" s="56" customFormat="1" ht="30" customHeight="1" x14ac:dyDescent="0.25">
      <c r="A48" s="56">
        <v>47</v>
      </c>
      <c r="B48" s="57" t="s">
        <v>78</v>
      </c>
      <c r="C48" s="57" t="s">
        <v>369</v>
      </c>
      <c r="H48" s="58"/>
      <c r="I48" s="59"/>
      <c r="J48" s="56" t="e">
        <f>VLOOKUP(Table1[[#This Row],[Project Code]],'[6]Combined Nov''25'!$E:$O,10,FALSE)</f>
        <v>#N/A</v>
      </c>
      <c r="K48" s="57" t="s">
        <v>679</v>
      </c>
      <c r="L48" s="57" t="s">
        <v>781</v>
      </c>
      <c r="M48" s="56" t="s">
        <v>844</v>
      </c>
      <c r="N48" s="73" t="e">
        <f>VLOOKUP(Table1[[#This Row],[Project Code]],'[6]Combined Nov''25'!$E:$K,7,FALSE)</f>
        <v>#N/A</v>
      </c>
      <c r="O48" s="57" t="s">
        <v>863</v>
      </c>
      <c r="P48" s="56" t="s">
        <v>870</v>
      </c>
      <c r="Q48" s="57" t="s">
        <v>887</v>
      </c>
      <c r="T48" s="57" t="e">
        <f>VLOOKUP(Table1[[#This Row],[Project Code]],'[6]Combined Nov''25'!$E:$P,12,FALSE)</f>
        <v>#N/A</v>
      </c>
      <c r="U48" s="57" t="e">
        <v>#N/A</v>
      </c>
      <c r="V48" s="56" t="e">
        <v>#N/A</v>
      </c>
      <c r="W48" s="60" t="e">
        <v>#N/A</v>
      </c>
      <c r="X48" s="56" t="s">
        <v>1491</v>
      </c>
      <c r="Y48" s="56" t="s">
        <v>1491</v>
      </c>
      <c r="Z48" s="56" t="s">
        <v>1491</v>
      </c>
      <c r="AA48" s="56" t="s">
        <v>1490</v>
      </c>
      <c r="AB48" s="56" t="s">
        <v>1491</v>
      </c>
      <c r="AC48" s="56" t="s">
        <v>1491</v>
      </c>
      <c r="AD48" s="56" t="s">
        <v>1491</v>
      </c>
      <c r="AE48" s="56" t="s">
        <v>1490</v>
      </c>
      <c r="AF48" s="56" t="s">
        <v>1490</v>
      </c>
      <c r="AG48" s="56" t="s">
        <v>1490</v>
      </c>
      <c r="AH48" s="56" t="s">
        <v>1490</v>
      </c>
      <c r="AI48" s="56" t="s">
        <v>1490</v>
      </c>
      <c r="AJ48" s="56" t="s">
        <v>1490</v>
      </c>
      <c r="AK48" s="56" t="s">
        <v>1490</v>
      </c>
    </row>
    <row r="49" spans="1:37" s="56" customFormat="1" ht="30" customHeight="1" x14ac:dyDescent="0.25">
      <c r="A49" s="56">
        <v>48</v>
      </c>
      <c r="B49" s="57" t="s">
        <v>79</v>
      </c>
      <c r="C49" s="57" t="s">
        <v>370</v>
      </c>
      <c r="H49" s="58"/>
      <c r="I49" s="59"/>
      <c r="J49" s="56" t="e">
        <f>VLOOKUP(Table1[[#This Row],[Project Code]],'[6]Combined Nov''25'!$E:$O,10,FALSE)</f>
        <v>#N/A</v>
      </c>
      <c r="K49" s="69" t="e">
        <f>VLOOKUP(Table1[[#This Row],[Project Code]],'[6]Combined Nov''25'!$E:$K,6,FALSE)</f>
        <v>#N/A</v>
      </c>
      <c r="L49" s="57" t="s">
        <v>789</v>
      </c>
      <c r="M49" s="56" t="s">
        <v>843</v>
      </c>
      <c r="N49" s="73" t="e">
        <f>VLOOKUP(Table1[[#This Row],[Project Code]],'[6]Combined Nov''25'!$E:$K,7,FALSE)</f>
        <v>#N/A</v>
      </c>
      <c r="O49" s="57" t="s">
        <v>863</v>
      </c>
      <c r="P49" s="56" t="s">
        <v>864</v>
      </c>
      <c r="Q49" s="57" t="s">
        <v>887</v>
      </c>
      <c r="T49" s="57" t="e">
        <f>VLOOKUP(Table1[[#This Row],[Project Code]],'[6]Combined Nov''25'!$E:$P,12,FALSE)</f>
        <v>#N/A</v>
      </c>
      <c r="U49" s="57" t="e">
        <v>#N/A</v>
      </c>
      <c r="V49" s="56" t="e">
        <v>#N/A</v>
      </c>
      <c r="W49" s="60" t="e">
        <v>#N/A</v>
      </c>
      <c r="X49" s="56" t="s">
        <v>1490</v>
      </c>
      <c r="Y49" s="56" t="s">
        <v>1489</v>
      </c>
      <c r="Z49" s="56" t="s">
        <v>1490</v>
      </c>
      <c r="AA49" s="56" t="s">
        <v>1490</v>
      </c>
      <c r="AB49" s="56" t="s">
        <v>1490</v>
      </c>
      <c r="AC49" s="56" t="s">
        <v>1490</v>
      </c>
      <c r="AD49" s="56" t="s">
        <v>1490</v>
      </c>
      <c r="AE49" s="56" t="s">
        <v>1490</v>
      </c>
      <c r="AF49" s="56" t="s">
        <v>1490</v>
      </c>
      <c r="AG49" s="56" t="s">
        <v>1490</v>
      </c>
      <c r="AH49" s="56" t="s">
        <v>1490</v>
      </c>
      <c r="AI49" s="56" t="s">
        <v>1490</v>
      </c>
      <c r="AJ49" s="56" t="s">
        <v>1490</v>
      </c>
      <c r="AK49" s="56" t="s">
        <v>1490</v>
      </c>
    </row>
    <row r="50" spans="1:37" s="56" customFormat="1" ht="30" customHeight="1" x14ac:dyDescent="0.25">
      <c r="A50" s="56">
        <v>49</v>
      </c>
      <c r="B50" s="57" t="s">
        <v>80</v>
      </c>
      <c r="C50" s="57" t="s">
        <v>371</v>
      </c>
      <c r="H50" s="58"/>
      <c r="I50" s="59"/>
      <c r="J50" s="56" t="e">
        <f>VLOOKUP(Table1[[#This Row],[Project Code]],'[6]Combined Nov''25'!$E:$O,10,FALSE)</f>
        <v>#N/A</v>
      </c>
      <c r="K50" s="69" t="e">
        <f>VLOOKUP(Table1[[#This Row],[Project Code]],'[6]Combined Nov''25'!$E:$K,6,FALSE)</f>
        <v>#N/A</v>
      </c>
      <c r="L50" s="57" t="s">
        <v>790</v>
      </c>
      <c r="M50" s="56" t="s">
        <v>843</v>
      </c>
      <c r="N50" s="73" t="e">
        <f>VLOOKUP(Table1[[#This Row],[Project Code]],'[6]Combined Nov''25'!$E:$K,7,FALSE)</f>
        <v>#N/A</v>
      </c>
      <c r="O50" s="57" t="s">
        <v>860</v>
      </c>
      <c r="P50" s="56" t="s">
        <v>868</v>
      </c>
      <c r="Q50" s="57" t="s">
        <v>887</v>
      </c>
      <c r="T50" s="57" t="e">
        <f>VLOOKUP(Table1[[#This Row],[Project Code]],'[6]Combined Nov''25'!$E:$P,12,FALSE)</f>
        <v>#N/A</v>
      </c>
      <c r="U50" s="57" t="e">
        <v>#N/A</v>
      </c>
      <c r="V50" s="56" t="e">
        <v>#N/A</v>
      </c>
      <c r="W50" s="60" t="e">
        <v>#N/A</v>
      </c>
      <c r="X50" s="56" t="s">
        <v>1490</v>
      </c>
      <c r="Y50" s="56" t="s">
        <v>1490</v>
      </c>
      <c r="Z50" s="56" t="s">
        <v>1491</v>
      </c>
      <c r="AA50" s="56" t="s">
        <v>1490</v>
      </c>
      <c r="AB50" s="56" t="s">
        <v>1490</v>
      </c>
      <c r="AC50" s="56" t="s">
        <v>1491</v>
      </c>
      <c r="AD50" s="56" t="s">
        <v>1490</v>
      </c>
      <c r="AE50" s="56" t="s">
        <v>1490</v>
      </c>
      <c r="AF50" s="56" t="s">
        <v>1490</v>
      </c>
      <c r="AG50" s="56" t="s">
        <v>1490</v>
      </c>
      <c r="AH50" s="56" t="s">
        <v>1490</v>
      </c>
      <c r="AI50" s="56" t="s">
        <v>1490</v>
      </c>
      <c r="AJ50" s="56" t="s">
        <v>1490</v>
      </c>
      <c r="AK50" s="56" t="s">
        <v>1490</v>
      </c>
    </row>
    <row r="51" spans="1:37" s="56" customFormat="1" ht="30" customHeight="1" x14ac:dyDescent="0.25">
      <c r="A51" s="56">
        <v>50</v>
      </c>
      <c r="B51" s="57" t="s">
        <v>81</v>
      </c>
      <c r="C51" s="57" t="s">
        <v>372</v>
      </c>
      <c r="D51" s="56" t="s">
        <v>615</v>
      </c>
      <c r="E51" s="56" t="s">
        <v>630</v>
      </c>
      <c r="G51" s="56" t="s">
        <v>1492</v>
      </c>
      <c r="H51" s="58">
        <f>VLOOKUP(Table1[[#This Row],[Project Code]],'[2]Combined '!$E:$N,8,FALSE)</f>
        <v>43101</v>
      </c>
      <c r="I51" s="59"/>
      <c r="K51" s="57" t="s">
        <v>680</v>
      </c>
      <c r="L51" s="57" t="s">
        <v>691</v>
      </c>
      <c r="M51" s="56" t="s">
        <v>843</v>
      </c>
      <c r="N51" s="56" t="s">
        <v>897</v>
      </c>
      <c r="O51" s="57" t="s">
        <v>856</v>
      </c>
      <c r="P51" s="56" t="s">
        <v>864</v>
      </c>
      <c r="Q51" s="57" t="s">
        <v>886</v>
      </c>
      <c r="T51" s="57" t="s">
        <v>945</v>
      </c>
      <c r="U51" s="57" t="s">
        <v>1106</v>
      </c>
      <c r="V51" s="56">
        <v>0</v>
      </c>
      <c r="W51" s="60">
        <v>0</v>
      </c>
      <c r="X51" s="56" t="s">
        <v>1491</v>
      </c>
      <c r="Y51" s="56" t="s">
        <v>1490</v>
      </c>
      <c r="Z51" s="56" t="s">
        <v>1490</v>
      </c>
      <c r="AA51" s="56" t="s">
        <v>1490</v>
      </c>
      <c r="AB51" s="56" t="s">
        <v>1490</v>
      </c>
      <c r="AC51" s="56" t="s">
        <v>1491</v>
      </c>
      <c r="AD51" s="56" t="s">
        <v>1490</v>
      </c>
      <c r="AE51" s="56" t="s">
        <v>1490</v>
      </c>
      <c r="AF51" s="56" t="s">
        <v>1490</v>
      </c>
      <c r="AG51" s="56" t="s">
        <v>1490</v>
      </c>
      <c r="AH51" s="56" t="s">
        <v>1490</v>
      </c>
      <c r="AI51" s="56" t="s">
        <v>1490</v>
      </c>
      <c r="AJ51" s="56" t="s">
        <v>1490</v>
      </c>
      <c r="AK51" s="56" t="s">
        <v>1490</v>
      </c>
    </row>
    <row r="52" spans="1:37" s="56" customFormat="1" ht="30" customHeight="1" x14ac:dyDescent="0.25">
      <c r="A52" s="56">
        <v>51</v>
      </c>
      <c r="B52" s="57" t="s">
        <v>82</v>
      </c>
      <c r="C52" s="57" t="s">
        <v>373</v>
      </c>
      <c r="H52" s="58"/>
      <c r="I52" s="59"/>
      <c r="J52" s="56" t="e">
        <f>VLOOKUP(Table1[[#This Row],[Project Code]],'[6]Combined Nov''25'!$E:$O,10,FALSE)</f>
        <v>#N/A</v>
      </c>
      <c r="K52" s="69" t="e">
        <f>VLOOKUP(Table1[[#This Row],[Project Code]],'[6]Combined Nov''25'!$E:$K,6,FALSE)</f>
        <v>#N/A</v>
      </c>
      <c r="L52" s="57" t="s">
        <v>691</v>
      </c>
      <c r="M52" s="56" t="s">
        <v>843</v>
      </c>
      <c r="N52" s="73" t="e">
        <f>VLOOKUP(Table1[[#This Row],[Project Code]],'[6]Combined Nov''25'!$E:$K,7,FALSE)</f>
        <v>#N/A</v>
      </c>
      <c r="O52" s="57" t="s">
        <v>856</v>
      </c>
      <c r="P52" s="56" t="s">
        <v>864</v>
      </c>
      <c r="Q52" s="57" t="s">
        <v>887</v>
      </c>
      <c r="T52" s="57" t="e">
        <f>VLOOKUP(Table1[[#This Row],[Project Code]],'[6]Combined Nov''25'!$E:$P,12,FALSE)</f>
        <v>#N/A</v>
      </c>
      <c r="U52" s="57" t="e">
        <v>#N/A</v>
      </c>
      <c r="V52" s="56" t="e">
        <v>#N/A</v>
      </c>
      <c r="W52" s="60" t="e">
        <v>#N/A</v>
      </c>
      <c r="X52" s="56" t="s">
        <v>1491</v>
      </c>
      <c r="Y52" s="56" t="s">
        <v>1491</v>
      </c>
      <c r="Z52" s="56" t="s">
        <v>1491</v>
      </c>
      <c r="AA52" s="56" t="s">
        <v>1490</v>
      </c>
      <c r="AB52" s="56" t="s">
        <v>1490</v>
      </c>
      <c r="AC52" s="56" t="s">
        <v>1491</v>
      </c>
      <c r="AD52" s="56" t="s">
        <v>1490</v>
      </c>
      <c r="AE52" s="56" t="s">
        <v>1490</v>
      </c>
      <c r="AF52" s="56" t="s">
        <v>1490</v>
      </c>
      <c r="AG52" s="56" t="s">
        <v>1490</v>
      </c>
      <c r="AH52" s="56" t="s">
        <v>1490</v>
      </c>
      <c r="AI52" s="56" t="s">
        <v>1490</v>
      </c>
      <c r="AJ52" s="56" t="s">
        <v>1490</v>
      </c>
      <c r="AK52" s="56" t="s">
        <v>1490</v>
      </c>
    </row>
    <row r="53" spans="1:37" s="56" customFormat="1" ht="30" customHeight="1" x14ac:dyDescent="0.25">
      <c r="A53" s="56">
        <v>52</v>
      </c>
      <c r="B53" s="57" t="s">
        <v>83</v>
      </c>
      <c r="C53" s="57" t="s">
        <v>374</v>
      </c>
      <c r="H53" s="58"/>
      <c r="I53" s="59"/>
      <c r="J53" s="56" t="e">
        <f>VLOOKUP(Table1[[#This Row],[Project Code]],'[6]Combined Nov''25'!$E:$O,10,FALSE)</f>
        <v>#N/A</v>
      </c>
      <c r="K53" s="69" t="e">
        <f>VLOOKUP(Table1[[#This Row],[Project Code]],'[6]Combined Nov''25'!$E:$K,6,FALSE)</f>
        <v>#N/A</v>
      </c>
      <c r="L53" s="57" t="s">
        <v>791</v>
      </c>
      <c r="M53" s="56" t="s">
        <v>843</v>
      </c>
      <c r="N53" s="73" t="e">
        <f>VLOOKUP(Table1[[#This Row],[Project Code]],'[6]Combined Nov''25'!$E:$K,7,FALSE)</f>
        <v>#N/A</v>
      </c>
      <c r="O53" s="57" t="s">
        <v>863</v>
      </c>
      <c r="P53" s="56" t="s">
        <v>864</v>
      </c>
      <c r="Q53" s="57" t="s">
        <v>887</v>
      </c>
      <c r="T53" s="57" t="e">
        <f>VLOOKUP(Table1[[#This Row],[Project Code]],'[6]Combined Nov''25'!$E:$P,12,FALSE)</f>
        <v>#N/A</v>
      </c>
      <c r="U53" s="57" t="e">
        <v>#N/A</v>
      </c>
      <c r="V53" s="56" t="e">
        <v>#N/A</v>
      </c>
      <c r="W53" s="60" t="e">
        <v>#N/A</v>
      </c>
      <c r="X53" s="56" t="s">
        <v>1490</v>
      </c>
      <c r="Y53" s="56" t="s">
        <v>1490</v>
      </c>
      <c r="Z53" s="56" t="s">
        <v>1491</v>
      </c>
      <c r="AA53" s="56" t="s">
        <v>1490</v>
      </c>
      <c r="AB53" s="56" t="s">
        <v>1490</v>
      </c>
      <c r="AC53" s="56" t="s">
        <v>1491</v>
      </c>
      <c r="AD53" s="56" t="s">
        <v>1490</v>
      </c>
      <c r="AE53" s="56" t="s">
        <v>1490</v>
      </c>
      <c r="AF53" s="56" t="s">
        <v>1490</v>
      </c>
      <c r="AG53" s="56" t="s">
        <v>1490</v>
      </c>
      <c r="AH53" s="56" t="s">
        <v>1490</v>
      </c>
      <c r="AI53" s="56" t="s">
        <v>1490</v>
      </c>
      <c r="AJ53" s="56" t="s">
        <v>1490</v>
      </c>
      <c r="AK53" s="56" t="s">
        <v>1490</v>
      </c>
    </row>
    <row r="54" spans="1:37" s="56" customFormat="1" ht="30" customHeight="1" x14ac:dyDescent="0.25">
      <c r="A54" s="56">
        <v>53</v>
      </c>
      <c r="B54" s="57" t="s">
        <v>84</v>
      </c>
      <c r="C54" s="57" t="s">
        <v>375</v>
      </c>
      <c r="H54" s="58"/>
      <c r="I54" s="59"/>
      <c r="J54" s="56" t="e">
        <f>VLOOKUP(Table1[[#This Row],[Project Code]],'[6]Combined Nov''25'!$E:$O,10,FALSE)</f>
        <v>#N/A</v>
      </c>
      <c r="K54" s="69" t="e">
        <f>VLOOKUP(Table1[[#This Row],[Project Code]],'[6]Combined Nov''25'!$E:$K,6,FALSE)</f>
        <v>#N/A</v>
      </c>
      <c r="L54" s="57" t="s">
        <v>792</v>
      </c>
      <c r="M54" s="56" t="s">
        <v>848</v>
      </c>
      <c r="N54" s="73" t="e">
        <f>VLOOKUP(Table1[[#This Row],[Project Code]],'[6]Combined Nov''25'!$E:$K,7,FALSE)</f>
        <v>#N/A</v>
      </c>
      <c r="O54" s="57" t="s">
        <v>856</v>
      </c>
      <c r="P54" s="56" t="s">
        <v>864</v>
      </c>
      <c r="Q54" s="57" t="s">
        <v>887</v>
      </c>
      <c r="T54" s="57" t="e">
        <f>VLOOKUP(Table1[[#This Row],[Project Code]],'[6]Combined Nov''25'!$E:$P,12,FALSE)</f>
        <v>#N/A</v>
      </c>
      <c r="U54" s="57" t="e">
        <v>#N/A</v>
      </c>
      <c r="V54" s="56" t="e">
        <v>#N/A</v>
      </c>
      <c r="W54" s="60" t="e">
        <v>#N/A</v>
      </c>
      <c r="X54" s="56" t="s">
        <v>1490</v>
      </c>
      <c r="Y54" s="56" t="s">
        <v>1489</v>
      </c>
      <c r="Z54" s="56" t="s">
        <v>1490</v>
      </c>
      <c r="AA54" s="56" t="s">
        <v>1490</v>
      </c>
      <c r="AB54" s="56" t="s">
        <v>1490</v>
      </c>
      <c r="AC54" s="56" t="s">
        <v>1490</v>
      </c>
      <c r="AD54" s="56" t="s">
        <v>1490</v>
      </c>
      <c r="AE54" s="56" t="s">
        <v>1490</v>
      </c>
      <c r="AF54" s="56" t="s">
        <v>1490</v>
      </c>
      <c r="AG54" s="56" t="s">
        <v>1490</v>
      </c>
      <c r="AH54" s="56" t="s">
        <v>1490</v>
      </c>
      <c r="AI54" s="56" t="s">
        <v>1490</v>
      </c>
      <c r="AJ54" s="56" t="s">
        <v>1490</v>
      </c>
      <c r="AK54" s="56" t="s">
        <v>1490</v>
      </c>
    </row>
    <row r="55" spans="1:37" s="56" customFormat="1" ht="30" customHeight="1" x14ac:dyDescent="0.25">
      <c r="A55" s="56">
        <v>54</v>
      </c>
      <c r="B55" s="57" t="s">
        <v>85</v>
      </c>
      <c r="C55" s="57" t="s">
        <v>376</v>
      </c>
      <c r="H55" s="58"/>
      <c r="I55" s="59"/>
      <c r="J55" s="56" t="e">
        <f>VLOOKUP(Table1[[#This Row],[Project Code]],'[6]Combined Nov''25'!$E:$O,10,FALSE)</f>
        <v>#N/A</v>
      </c>
      <c r="K55" s="69" t="e">
        <f>VLOOKUP(Table1[[#This Row],[Project Code]],'[6]Combined Nov''25'!$E:$K,6,FALSE)</f>
        <v>#N/A</v>
      </c>
      <c r="L55" s="57" t="s">
        <v>696</v>
      </c>
      <c r="M55" s="56" t="s">
        <v>843</v>
      </c>
      <c r="N55" s="73" t="e">
        <f>VLOOKUP(Table1[[#This Row],[Project Code]],'[6]Combined Nov''25'!$E:$K,7,FALSE)</f>
        <v>#N/A</v>
      </c>
      <c r="O55" s="57" t="s">
        <v>857</v>
      </c>
      <c r="P55" s="56" t="s">
        <v>864</v>
      </c>
      <c r="Q55" s="57" t="s">
        <v>887</v>
      </c>
      <c r="T55" s="57" t="e">
        <f>VLOOKUP(Table1[[#This Row],[Project Code]],'[6]Combined Nov''25'!$E:$P,12,FALSE)</f>
        <v>#N/A</v>
      </c>
      <c r="U55" s="57" t="e">
        <v>#N/A</v>
      </c>
      <c r="V55" s="56" t="e">
        <v>#N/A</v>
      </c>
      <c r="W55" s="60" t="e">
        <v>#N/A</v>
      </c>
      <c r="X55" s="56" t="s">
        <v>1491</v>
      </c>
      <c r="Y55" s="56" t="s">
        <v>1491</v>
      </c>
      <c r="Z55" s="56" t="s">
        <v>1491</v>
      </c>
      <c r="AA55" s="56" t="s">
        <v>1490</v>
      </c>
      <c r="AB55" s="56" t="s">
        <v>1491</v>
      </c>
      <c r="AC55" s="56" t="s">
        <v>1491</v>
      </c>
      <c r="AD55" s="56" t="s">
        <v>1490</v>
      </c>
      <c r="AE55" s="56" t="s">
        <v>1490</v>
      </c>
      <c r="AF55" s="56" t="s">
        <v>1490</v>
      </c>
      <c r="AG55" s="56" t="s">
        <v>1490</v>
      </c>
      <c r="AH55" s="56" t="s">
        <v>1490</v>
      </c>
      <c r="AI55" s="56" t="s">
        <v>1490</v>
      </c>
      <c r="AJ55" s="56" t="s">
        <v>1490</v>
      </c>
      <c r="AK55" s="56" t="s">
        <v>1490</v>
      </c>
    </row>
    <row r="56" spans="1:37" s="56" customFormat="1" ht="30" customHeight="1" x14ac:dyDescent="0.25">
      <c r="A56" s="56">
        <v>55</v>
      </c>
      <c r="B56" s="57" t="s">
        <v>86</v>
      </c>
      <c r="C56" s="57" t="s">
        <v>377</v>
      </c>
      <c r="H56" s="58"/>
      <c r="I56" s="59"/>
      <c r="J56" s="56" t="e">
        <f>VLOOKUP(Table1[[#This Row],[Project Code]],'[6]Combined Nov''25'!$E:$O,10,FALSE)</f>
        <v>#N/A</v>
      </c>
      <c r="K56" s="57" t="s">
        <v>681</v>
      </c>
      <c r="L56" s="57"/>
      <c r="M56" s="56" t="s">
        <v>843</v>
      </c>
      <c r="N56" s="73" t="e">
        <f>VLOOKUP(Table1[[#This Row],[Project Code]],'[6]Combined Nov''25'!$E:$K,7,FALSE)</f>
        <v>#N/A</v>
      </c>
      <c r="O56" s="57" t="s">
        <v>855</v>
      </c>
      <c r="P56" s="56" t="s">
        <v>864</v>
      </c>
      <c r="Q56" s="57" t="s">
        <v>855</v>
      </c>
      <c r="T56" s="57" t="e">
        <f>VLOOKUP(Table1[[#This Row],[Project Code]],'[6]Combined Nov''25'!$E:$P,12,FALSE)</f>
        <v>#N/A</v>
      </c>
      <c r="U56" s="57" t="e">
        <v>#N/A</v>
      </c>
      <c r="V56" s="56" t="e">
        <v>#N/A</v>
      </c>
      <c r="W56" s="60" t="e">
        <v>#N/A</v>
      </c>
      <c r="X56" s="56" t="s">
        <v>1491</v>
      </c>
      <c r="Y56" s="56" t="s">
        <v>1490</v>
      </c>
      <c r="Z56" s="56" t="s">
        <v>1491</v>
      </c>
      <c r="AA56" s="56" t="s">
        <v>1491</v>
      </c>
      <c r="AB56" s="56" t="s">
        <v>1491</v>
      </c>
      <c r="AC56" s="56" t="s">
        <v>1491</v>
      </c>
      <c r="AD56" s="56" t="s">
        <v>1490</v>
      </c>
      <c r="AE56" s="56" t="s">
        <v>1490</v>
      </c>
      <c r="AF56" s="56" t="s">
        <v>1490</v>
      </c>
      <c r="AG56" s="56" t="s">
        <v>1490</v>
      </c>
      <c r="AH56" s="56" t="s">
        <v>1490</v>
      </c>
      <c r="AI56" s="56" t="s">
        <v>1490</v>
      </c>
      <c r="AJ56" s="56" t="s">
        <v>1490</v>
      </c>
      <c r="AK56" s="56" t="s">
        <v>1490</v>
      </c>
    </row>
    <row r="57" spans="1:37" s="56" customFormat="1" ht="30" customHeight="1" x14ac:dyDescent="0.25">
      <c r="A57" s="56">
        <v>56</v>
      </c>
      <c r="B57" s="57" t="s">
        <v>87</v>
      </c>
      <c r="C57" s="57" t="s">
        <v>378</v>
      </c>
      <c r="H57" s="58"/>
      <c r="I57" s="59"/>
      <c r="J57" s="56" t="e">
        <f>VLOOKUP(Table1[[#This Row],[Project Code]],'[6]Combined Nov''25'!$E:$O,10,FALSE)</f>
        <v>#N/A</v>
      </c>
      <c r="K57" s="69" t="e">
        <f>VLOOKUP(Table1[[#This Row],[Project Code]],'[6]Combined Nov''25'!$E:$K,6,FALSE)</f>
        <v>#N/A</v>
      </c>
      <c r="L57" s="57" t="s">
        <v>783</v>
      </c>
      <c r="M57" s="56" t="s">
        <v>843</v>
      </c>
      <c r="N57" s="73" t="e">
        <f>VLOOKUP(Table1[[#This Row],[Project Code]],'[6]Combined Nov''25'!$E:$K,7,FALSE)</f>
        <v>#N/A</v>
      </c>
      <c r="O57" s="57" t="s">
        <v>861</v>
      </c>
      <c r="P57" s="56" t="s">
        <v>864</v>
      </c>
      <c r="Q57" s="57" t="s">
        <v>887</v>
      </c>
      <c r="T57" s="57" t="e">
        <f>VLOOKUP(Table1[[#This Row],[Project Code]],'[6]Combined Nov''25'!$E:$P,12,FALSE)</f>
        <v>#N/A</v>
      </c>
      <c r="U57" s="57" t="e">
        <v>#N/A</v>
      </c>
      <c r="V57" s="56" t="e">
        <v>#N/A</v>
      </c>
      <c r="W57" s="60" t="e">
        <v>#N/A</v>
      </c>
      <c r="X57" s="56" t="s">
        <v>1491</v>
      </c>
      <c r="Y57" s="56" t="s">
        <v>1490</v>
      </c>
      <c r="Z57" s="56" t="s">
        <v>1491</v>
      </c>
      <c r="AA57" s="56" t="s">
        <v>1491</v>
      </c>
      <c r="AB57" s="56" t="s">
        <v>1491</v>
      </c>
      <c r="AC57" s="56" t="s">
        <v>1491</v>
      </c>
      <c r="AD57" s="56" t="s">
        <v>1490</v>
      </c>
      <c r="AE57" s="56" t="s">
        <v>1490</v>
      </c>
      <c r="AF57" s="56" t="s">
        <v>1490</v>
      </c>
      <c r="AG57" s="56" t="s">
        <v>1490</v>
      </c>
      <c r="AH57" s="56" t="s">
        <v>1490</v>
      </c>
      <c r="AI57" s="56" t="s">
        <v>1490</v>
      </c>
      <c r="AJ57" s="56" t="s">
        <v>1490</v>
      </c>
      <c r="AK57" s="56" t="s">
        <v>1490</v>
      </c>
    </row>
    <row r="58" spans="1:37" s="56" customFormat="1" ht="30" customHeight="1" x14ac:dyDescent="0.25">
      <c r="A58" s="56">
        <v>57</v>
      </c>
      <c r="B58" s="57" t="s">
        <v>88</v>
      </c>
      <c r="C58" s="57" t="s">
        <v>379</v>
      </c>
      <c r="H58" s="58"/>
      <c r="I58" s="59"/>
      <c r="J58" s="56" t="e">
        <f>VLOOKUP(Table1[[#This Row],[Project Code]],'[6]Combined Nov''25'!$E:$O,10,FALSE)</f>
        <v>#N/A</v>
      </c>
      <c r="K58" s="69" t="e">
        <f>VLOOKUP(Table1[[#This Row],[Project Code]],'[6]Combined Nov''25'!$E:$K,6,FALSE)</f>
        <v>#N/A</v>
      </c>
      <c r="L58" s="57" t="s">
        <v>793</v>
      </c>
      <c r="M58" s="56" t="s">
        <v>843</v>
      </c>
      <c r="N58" s="73" t="e">
        <f>VLOOKUP(Table1[[#This Row],[Project Code]],'[6]Combined Nov''25'!$E:$K,7,FALSE)</f>
        <v>#N/A</v>
      </c>
      <c r="O58" s="57" t="s">
        <v>859</v>
      </c>
      <c r="P58" s="56" t="s">
        <v>864</v>
      </c>
      <c r="Q58" s="57" t="s">
        <v>887</v>
      </c>
      <c r="T58" s="57" t="e">
        <f>VLOOKUP(Table1[[#This Row],[Project Code]],'[6]Combined Nov''25'!$E:$P,12,FALSE)</f>
        <v>#N/A</v>
      </c>
      <c r="U58" s="57" t="e">
        <v>#N/A</v>
      </c>
      <c r="V58" s="56" t="e">
        <v>#N/A</v>
      </c>
      <c r="W58" s="60" t="e">
        <v>#N/A</v>
      </c>
      <c r="X58" s="56" t="s">
        <v>1490</v>
      </c>
      <c r="Y58" s="56" t="s">
        <v>1489</v>
      </c>
      <c r="Z58" s="56" t="s">
        <v>1490</v>
      </c>
      <c r="AA58" s="56" t="s">
        <v>1490</v>
      </c>
      <c r="AB58" s="56" t="s">
        <v>1490</v>
      </c>
      <c r="AC58" s="56" t="s">
        <v>1490</v>
      </c>
      <c r="AD58" s="56" t="s">
        <v>1490</v>
      </c>
      <c r="AE58" s="56" t="s">
        <v>1490</v>
      </c>
      <c r="AF58" s="56" t="s">
        <v>1490</v>
      </c>
      <c r="AG58" s="56" t="s">
        <v>1490</v>
      </c>
      <c r="AH58" s="56" t="s">
        <v>1490</v>
      </c>
      <c r="AI58" s="56" t="s">
        <v>1490</v>
      </c>
      <c r="AJ58" s="56" t="s">
        <v>1490</v>
      </c>
      <c r="AK58" s="56" t="s">
        <v>1490</v>
      </c>
    </row>
    <row r="59" spans="1:37" s="56" customFormat="1" ht="30" customHeight="1" x14ac:dyDescent="0.25">
      <c r="A59" s="56">
        <v>58</v>
      </c>
      <c r="B59" s="57" t="s">
        <v>89</v>
      </c>
      <c r="C59" s="57" t="s">
        <v>380</v>
      </c>
      <c r="H59" s="58"/>
      <c r="I59" s="59"/>
      <c r="J59" s="56" t="e">
        <f>VLOOKUP(Table1[[#This Row],[Project Code]],'[6]Combined Nov''25'!$E:$O,10,FALSE)</f>
        <v>#N/A</v>
      </c>
      <c r="K59" s="69" t="e">
        <f>VLOOKUP(Table1[[#This Row],[Project Code]],'[6]Combined Nov''25'!$E:$K,6,FALSE)</f>
        <v>#N/A</v>
      </c>
      <c r="L59" s="57" t="s">
        <v>782</v>
      </c>
      <c r="M59" s="56" t="s">
        <v>843</v>
      </c>
      <c r="N59" s="73" t="e">
        <f>VLOOKUP(Table1[[#This Row],[Project Code]],'[6]Combined Nov''25'!$E:$K,7,FALSE)</f>
        <v>#N/A</v>
      </c>
      <c r="O59" s="57" t="s">
        <v>857</v>
      </c>
      <c r="P59" s="56" t="s">
        <v>864</v>
      </c>
      <c r="Q59" s="57" t="s">
        <v>887</v>
      </c>
      <c r="T59" s="57" t="e">
        <f>VLOOKUP(Table1[[#This Row],[Project Code]],'[6]Combined Nov''25'!$E:$P,12,FALSE)</f>
        <v>#N/A</v>
      </c>
      <c r="U59" s="57" t="e">
        <v>#N/A</v>
      </c>
      <c r="V59" s="56" t="e">
        <v>#N/A</v>
      </c>
      <c r="W59" s="60" t="e">
        <v>#N/A</v>
      </c>
      <c r="X59" s="56" t="s">
        <v>1490</v>
      </c>
      <c r="Y59" s="56" t="s">
        <v>1489</v>
      </c>
      <c r="Z59" s="56" t="s">
        <v>1490</v>
      </c>
      <c r="AA59" s="56" t="s">
        <v>1490</v>
      </c>
      <c r="AB59" s="56" t="s">
        <v>1490</v>
      </c>
      <c r="AC59" s="56" t="s">
        <v>1490</v>
      </c>
      <c r="AD59" s="56" t="s">
        <v>1490</v>
      </c>
      <c r="AE59" s="56" t="s">
        <v>1490</v>
      </c>
      <c r="AF59" s="56" t="s">
        <v>1490</v>
      </c>
      <c r="AG59" s="56" t="s">
        <v>1490</v>
      </c>
      <c r="AH59" s="56" t="s">
        <v>1490</v>
      </c>
      <c r="AI59" s="56" t="s">
        <v>1490</v>
      </c>
      <c r="AJ59" s="56" t="s">
        <v>1490</v>
      </c>
      <c r="AK59" s="56" t="s">
        <v>1490</v>
      </c>
    </row>
    <row r="60" spans="1:37" s="56" customFormat="1" ht="30" customHeight="1" x14ac:dyDescent="0.25">
      <c r="A60" s="56">
        <v>59</v>
      </c>
      <c r="B60" s="57" t="s">
        <v>90</v>
      </c>
      <c r="C60" s="57" t="s">
        <v>381</v>
      </c>
      <c r="H60" s="58"/>
      <c r="I60" s="59"/>
      <c r="J60" s="56" t="e">
        <f>VLOOKUP(Table1[[#This Row],[Project Code]],'[6]Combined Nov''25'!$E:$O,10,FALSE)</f>
        <v>#N/A</v>
      </c>
      <c r="K60" s="69" t="e">
        <f>VLOOKUP(Table1[[#This Row],[Project Code]],'[6]Combined Nov''25'!$E:$K,6,FALSE)</f>
        <v>#N/A</v>
      </c>
      <c r="L60" s="57" t="s">
        <v>794</v>
      </c>
      <c r="M60" s="56" t="s">
        <v>843</v>
      </c>
      <c r="N60" s="73" t="e">
        <f>VLOOKUP(Table1[[#This Row],[Project Code]],'[6]Combined Nov''25'!$E:$K,7,FALSE)</f>
        <v>#N/A</v>
      </c>
      <c r="O60" s="57" t="s">
        <v>863</v>
      </c>
      <c r="P60" s="56" t="s">
        <v>864</v>
      </c>
      <c r="Q60" s="57" t="s">
        <v>888</v>
      </c>
      <c r="T60" s="57" t="e">
        <f>VLOOKUP(Table1[[#This Row],[Project Code]],'[6]Combined Nov''25'!$E:$P,12,FALSE)</f>
        <v>#N/A</v>
      </c>
      <c r="U60" s="57" t="e">
        <v>#N/A</v>
      </c>
      <c r="V60" s="56" t="e">
        <v>#N/A</v>
      </c>
      <c r="W60" s="60" t="e">
        <v>#N/A</v>
      </c>
      <c r="X60" s="56" t="s">
        <v>1490</v>
      </c>
      <c r="Y60" s="56" t="s">
        <v>1489</v>
      </c>
      <c r="Z60" s="56" t="s">
        <v>1490</v>
      </c>
      <c r="AA60" s="56" t="s">
        <v>1490</v>
      </c>
      <c r="AB60" s="56" t="s">
        <v>1490</v>
      </c>
      <c r="AC60" s="56" t="s">
        <v>1490</v>
      </c>
      <c r="AD60" s="56" t="s">
        <v>1490</v>
      </c>
      <c r="AE60" s="56" t="s">
        <v>1490</v>
      </c>
      <c r="AF60" s="56" t="s">
        <v>1490</v>
      </c>
      <c r="AG60" s="56" t="s">
        <v>1490</v>
      </c>
      <c r="AH60" s="56" t="s">
        <v>1490</v>
      </c>
      <c r="AI60" s="56" t="s">
        <v>1490</v>
      </c>
      <c r="AJ60" s="56" t="s">
        <v>1490</v>
      </c>
      <c r="AK60" s="56" t="s">
        <v>1490</v>
      </c>
    </row>
    <row r="61" spans="1:37" s="56" customFormat="1" ht="30" customHeight="1" x14ac:dyDescent="0.25">
      <c r="A61" s="56">
        <v>60</v>
      </c>
      <c r="B61" s="57" t="s">
        <v>91</v>
      </c>
      <c r="C61" s="57" t="s">
        <v>382</v>
      </c>
      <c r="D61" s="56" t="s">
        <v>617</v>
      </c>
      <c r="E61" s="56" t="s">
        <v>626</v>
      </c>
      <c r="G61" s="56" t="str">
        <f>VLOOKUP(Table1[[#This Row],[Project Code]],[1]Combined!$E:$I,5,FALSE)</f>
        <v>Ongoing</v>
      </c>
      <c r="H61" s="58">
        <f>VLOOKUP(Table1[[#This Row],[Project Code]],'[2]Combined '!$E:$N,8,FALSE)</f>
        <v>43805</v>
      </c>
      <c r="I61" s="59"/>
      <c r="K61" s="69" t="s">
        <v>682</v>
      </c>
      <c r="L61" s="69" t="s">
        <v>795</v>
      </c>
      <c r="M61" s="73" t="s">
        <v>843</v>
      </c>
      <c r="N61" s="73" t="s">
        <v>898</v>
      </c>
      <c r="O61" s="69" t="s">
        <v>863</v>
      </c>
      <c r="P61" s="73" t="s">
        <v>864</v>
      </c>
      <c r="Q61" s="57" t="s">
        <v>887</v>
      </c>
      <c r="T61" s="57" t="s">
        <v>1077</v>
      </c>
      <c r="U61" s="57" t="s">
        <v>1107</v>
      </c>
      <c r="V61" s="56" t="s">
        <v>1057</v>
      </c>
      <c r="W61" s="60">
        <v>0</v>
      </c>
      <c r="X61" s="56" t="s">
        <v>1490</v>
      </c>
      <c r="Y61" s="56" t="s">
        <v>1489</v>
      </c>
      <c r="Z61" s="56" t="s">
        <v>1490</v>
      </c>
      <c r="AA61" s="56" t="s">
        <v>1490</v>
      </c>
      <c r="AB61" s="56" t="s">
        <v>1490</v>
      </c>
      <c r="AC61" s="56" t="s">
        <v>1490</v>
      </c>
      <c r="AD61" s="56" t="s">
        <v>1490</v>
      </c>
      <c r="AE61" s="56" t="s">
        <v>1490</v>
      </c>
      <c r="AF61" s="56" t="s">
        <v>1490</v>
      </c>
      <c r="AG61" s="56" t="s">
        <v>1490</v>
      </c>
      <c r="AH61" s="56" t="s">
        <v>1490</v>
      </c>
      <c r="AI61" s="56" t="s">
        <v>1490</v>
      </c>
      <c r="AJ61" s="56" t="s">
        <v>1490</v>
      </c>
      <c r="AK61" s="56" t="s">
        <v>1490</v>
      </c>
    </row>
    <row r="62" spans="1:37" s="56" customFormat="1" ht="30" customHeight="1" x14ac:dyDescent="0.25">
      <c r="A62" s="56">
        <v>61</v>
      </c>
      <c r="B62" s="57" t="s">
        <v>92</v>
      </c>
      <c r="C62" s="57" t="s">
        <v>383</v>
      </c>
      <c r="D62" s="56" t="s">
        <v>616</v>
      </c>
      <c r="E62" s="56" t="s">
        <v>631</v>
      </c>
      <c r="G62" s="56" t="str">
        <f>VLOOKUP(Table1[[#This Row],[Project Code]],[1]Combined!$E:$I,5,FALSE)</f>
        <v>Ongoing</v>
      </c>
      <c r="H62" s="58">
        <f>VLOOKUP(Table1[[#This Row],[Project Code]],'[2]Combined '!$E:$N,8,FALSE)</f>
        <v>43468</v>
      </c>
      <c r="I62" s="59"/>
      <c r="K62" s="69" t="str">
        <f>VLOOKUP(Table1[[#This Row],[Project Code]],'[6]Combined Nov''25'!$E:$K,6,FALSE)</f>
        <v>Ministry of Finance</v>
      </c>
      <c r="L62" s="69" t="s">
        <v>796</v>
      </c>
      <c r="M62" s="73" t="s">
        <v>843</v>
      </c>
      <c r="N62" s="73" t="s">
        <v>899</v>
      </c>
      <c r="O62" s="69" t="s">
        <v>856</v>
      </c>
      <c r="P62" s="73" t="s">
        <v>864</v>
      </c>
      <c r="Q62" s="57" t="s">
        <v>886</v>
      </c>
      <c r="T62" s="57" t="s">
        <v>1078</v>
      </c>
      <c r="U62" s="57" t="s">
        <v>1108</v>
      </c>
      <c r="V62" s="56" t="s">
        <v>1058</v>
      </c>
      <c r="W62" s="60" t="s">
        <v>1060</v>
      </c>
      <c r="X62" s="56" t="s">
        <v>1490</v>
      </c>
      <c r="Y62" s="56" t="s">
        <v>1489</v>
      </c>
      <c r="Z62" s="56" t="s">
        <v>1490</v>
      </c>
      <c r="AA62" s="56" t="s">
        <v>1490</v>
      </c>
      <c r="AB62" s="56" t="s">
        <v>1490</v>
      </c>
      <c r="AC62" s="56" t="s">
        <v>1490</v>
      </c>
      <c r="AD62" s="56" t="s">
        <v>1490</v>
      </c>
      <c r="AE62" s="56" t="s">
        <v>1490</v>
      </c>
      <c r="AF62" s="56" t="s">
        <v>1490</v>
      </c>
      <c r="AG62" s="56" t="s">
        <v>1490</v>
      </c>
      <c r="AH62" s="56" t="s">
        <v>1490</v>
      </c>
      <c r="AI62" s="56" t="s">
        <v>1490</v>
      </c>
      <c r="AJ62" s="56" t="s">
        <v>1490</v>
      </c>
      <c r="AK62" s="56" t="s">
        <v>1490</v>
      </c>
    </row>
    <row r="63" spans="1:37" s="56" customFormat="1" ht="30" customHeight="1" x14ac:dyDescent="0.25">
      <c r="A63" s="56">
        <v>62</v>
      </c>
      <c r="B63" s="57" t="s">
        <v>93</v>
      </c>
      <c r="C63" s="57" t="s">
        <v>384</v>
      </c>
      <c r="H63" s="58"/>
      <c r="I63" s="59"/>
      <c r="J63" s="56" t="e">
        <f>VLOOKUP(Table1[[#This Row],[Project Code]],'[6]Combined Nov''25'!$E:$O,10,FALSE)</f>
        <v>#N/A</v>
      </c>
      <c r="K63" s="69" t="e">
        <f>VLOOKUP(Table1[[#This Row],[Project Code]],'[6]Combined Nov''25'!$E:$K,6,FALSE)</f>
        <v>#N/A</v>
      </c>
      <c r="L63" s="57" t="s">
        <v>695</v>
      </c>
      <c r="M63" s="56" t="s">
        <v>843</v>
      </c>
      <c r="N63" s="73" t="e">
        <f>VLOOKUP(Table1[[#This Row],[Project Code]],'[6]Combined Nov''25'!$E:$K,7,FALSE)</f>
        <v>#N/A</v>
      </c>
      <c r="O63" s="57" t="s">
        <v>863</v>
      </c>
      <c r="P63" s="56" t="s">
        <v>864</v>
      </c>
      <c r="Q63" s="57" t="s">
        <v>886</v>
      </c>
      <c r="T63" s="57" t="e">
        <f>VLOOKUP(Table1[[#This Row],[Project Code]],'[6]Combined Nov''25'!$E:$P,12,FALSE)</f>
        <v>#N/A</v>
      </c>
      <c r="U63" s="57" t="e">
        <v>#N/A</v>
      </c>
      <c r="V63" s="56" t="e">
        <v>#N/A</v>
      </c>
      <c r="W63" s="60" t="e">
        <v>#N/A</v>
      </c>
      <c r="X63" s="56" t="s">
        <v>1490</v>
      </c>
      <c r="Y63" s="56" t="s">
        <v>1489</v>
      </c>
      <c r="Z63" s="56" t="s">
        <v>1490</v>
      </c>
      <c r="AA63" s="56" t="s">
        <v>1490</v>
      </c>
      <c r="AB63" s="56" t="s">
        <v>1490</v>
      </c>
      <c r="AC63" s="56" t="s">
        <v>1490</v>
      </c>
      <c r="AD63" s="56" t="s">
        <v>1490</v>
      </c>
      <c r="AE63" s="56" t="s">
        <v>1490</v>
      </c>
      <c r="AF63" s="56" t="s">
        <v>1490</v>
      </c>
      <c r="AG63" s="56" t="s">
        <v>1490</v>
      </c>
      <c r="AH63" s="56" t="s">
        <v>1490</v>
      </c>
      <c r="AI63" s="56" t="s">
        <v>1490</v>
      </c>
      <c r="AJ63" s="56" t="s">
        <v>1490</v>
      </c>
      <c r="AK63" s="56" t="s">
        <v>1490</v>
      </c>
    </row>
    <row r="64" spans="1:37" s="56" customFormat="1" ht="30" customHeight="1" x14ac:dyDescent="0.25">
      <c r="A64" s="56">
        <v>63</v>
      </c>
      <c r="B64" s="57" t="s">
        <v>94</v>
      </c>
      <c r="C64" s="57" t="s">
        <v>385</v>
      </c>
      <c r="H64" s="58"/>
      <c r="I64" s="59"/>
      <c r="J64" s="56" t="e">
        <f>VLOOKUP(Table1[[#This Row],[Project Code]],'[6]Combined Nov''25'!$E:$O,10,FALSE)</f>
        <v>#N/A</v>
      </c>
      <c r="K64" s="69" t="e">
        <f>VLOOKUP(Table1[[#This Row],[Project Code]],'[6]Combined Nov''25'!$E:$K,6,FALSE)</f>
        <v>#N/A</v>
      </c>
      <c r="L64" s="57" t="s">
        <v>797</v>
      </c>
      <c r="M64" s="56" t="s">
        <v>843</v>
      </c>
      <c r="N64" s="73" t="e">
        <f>VLOOKUP(Table1[[#This Row],[Project Code]],'[6]Combined Nov''25'!$E:$K,7,FALSE)</f>
        <v>#N/A</v>
      </c>
      <c r="O64" s="57" t="s">
        <v>858</v>
      </c>
      <c r="P64" s="56" t="s">
        <v>864</v>
      </c>
      <c r="Q64" s="57" t="s">
        <v>887</v>
      </c>
      <c r="T64" s="57" t="e">
        <f>VLOOKUP(Table1[[#This Row],[Project Code]],'[6]Combined Nov''25'!$E:$P,12,FALSE)</f>
        <v>#N/A</v>
      </c>
      <c r="U64" s="57" t="e">
        <v>#N/A</v>
      </c>
      <c r="V64" s="56" t="e">
        <v>#N/A</v>
      </c>
      <c r="W64" s="60" t="e">
        <v>#N/A</v>
      </c>
      <c r="X64" s="56" t="s">
        <v>1490</v>
      </c>
      <c r="Y64" s="56" t="s">
        <v>1489</v>
      </c>
      <c r="Z64" s="56" t="s">
        <v>1490</v>
      </c>
      <c r="AA64" s="56" t="s">
        <v>1490</v>
      </c>
      <c r="AB64" s="56" t="s">
        <v>1490</v>
      </c>
      <c r="AC64" s="56" t="s">
        <v>1490</v>
      </c>
      <c r="AD64" s="56" t="s">
        <v>1490</v>
      </c>
      <c r="AE64" s="56" t="s">
        <v>1490</v>
      </c>
      <c r="AF64" s="56" t="s">
        <v>1490</v>
      </c>
      <c r="AG64" s="56" t="s">
        <v>1490</v>
      </c>
      <c r="AH64" s="56" t="s">
        <v>1490</v>
      </c>
      <c r="AI64" s="56" t="s">
        <v>1490</v>
      </c>
      <c r="AJ64" s="56" t="s">
        <v>1490</v>
      </c>
      <c r="AK64" s="56" t="s">
        <v>1490</v>
      </c>
    </row>
    <row r="65" spans="1:37" s="56" customFormat="1" ht="30" customHeight="1" x14ac:dyDescent="0.25">
      <c r="A65" s="56">
        <v>64</v>
      </c>
      <c r="B65" s="57" t="s">
        <v>95</v>
      </c>
      <c r="C65" s="57" t="s">
        <v>386</v>
      </c>
      <c r="H65" s="58"/>
      <c r="I65" s="59"/>
      <c r="J65" s="56" t="e">
        <f>VLOOKUP(Table1[[#This Row],[Project Code]],'[6]Combined Nov''25'!$E:$O,10,FALSE)</f>
        <v>#N/A</v>
      </c>
      <c r="K65" s="69" t="e">
        <f>VLOOKUP(Table1[[#This Row],[Project Code]],'[6]Combined Nov''25'!$E:$K,6,FALSE)</f>
        <v>#N/A</v>
      </c>
      <c r="L65" s="57" t="s">
        <v>798</v>
      </c>
      <c r="M65" s="56" t="s">
        <v>844</v>
      </c>
      <c r="N65" s="73" t="e">
        <f>VLOOKUP(Table1[[#This Row],[Project Code]],'[6]Combined Nov''25'!$E:$K,7,FALSE)</f>
        <v>#N/A</v>
      </c>
      <c r="O65" s="57" t="s">
        <v>859</v>
      </c>
      <c r="P65" s="56" t="s">
        <v>873</v>
      </c>
      <c r="Q65" s="57" t="s">
        <v>886</v>
      </c>
      <c r="T65" s="57" t="e">
        <f>VLOOKUP(Table1[[#This Row],[Project Code]],'[6]Combined Nov''25'!$E:$P,12,FALSE)</f>
        <v>#N/A</v>
      </c>
      <c r="U65" s="57" t="e">
        <v>#N/A</v>
      </c>
      <c r="V65" s="56" t="e">
        <v>#N/A</v>
      </c>
      <c r="W65" s="60" t="e">
        <v>#N/A</v>
      </c>
      <c r="X65" s="56" t="s">
        <v>1490</v>
      </c>
      <c r="Y65" s="56" t="s">
        <v>1489</v>
      </c>
      <c r="Z65" s="56" t="s">
        <v>1490</v>
      </c>
      <c r="AA65" s="56" t="s">
        <v>1490</v>
      </c>
      <c r="AB65" s="56" t="s">
        <v>1490</v>
      </c>
      <c r="AC65" s="56" t="s">
        <v>1490</v>
      </c>
      <c r="AD65" s="56" t="s">
        <v>1490</v>
      </c>
      <c r="AE65" s="56" t="s">
        <v>1490</v>
      </c>
      <c r="AF65" s="56" t="s">
        <v>1490</v>
      </c>
      <c r="AG65" s="56" t="s">
        <v>1490</v>
      </c>
      <c r="AH65" s="56" t="s">
        <v>1490</v>
      </c>
      <c r="AI65" s="56" t="s">
        <v>1490</v>
      </c>
      <c r="AJ65" s="56" t="s">
        <v>1490</v>
      </c>
      <c r="AK65" s="56" t="s">
        <v>1490</v>
      </c>
    </row>
    <row r="66" spans="1:37" s="56" customFormat="1" ht="30" customHeight="1" x14ac:dyDescent="0.25">
      <c r="A66" s="56">
        <v>65</v>
      </c>
      <c r="B66" s="57" t="s">
        <v>96</v>
      </c>
      <c r="C66" s="57" t="s">
        <v>387</v>
      </c>
      <c r="D66" s="56" t="s">
        <v>619</v>
      </c>
      <c r="E66" s="56" t="s">
        <v>632</v>
      </c>
      <c r="G66" s="56" t="str">
        <f>VLOOKUP(Table1[[#This Row],[Project Code]],[1]Combined!$E:$I,5,FALSE)</f>
        <v>Ongoing</v>
      </c>
      <c r="H66" s="58">
        <f>VLOOKUP(Table1[[#This Row],[Project Code]],'[2]Combined '!$E:$N,8,FALSE)</f>
        <v>43631</v>
      </c>
      <c r="I66" s="59"/>
      <c r="K66" s="69" t="s">
        <v>683</v>
      </c>
      <c r="L66" s="69" t="s">
        <v>799</v>
      </c>
      <c r="M66" s="73" t="s">
        <v>844</v>
      </c>
      <c r="N66" s="73" t="s">
        <v>900</v>
      </c>
      <c r="O66" s="69" t="s">
        <v>860</v>
      </c>
      <c r="P66" s="73" t="s">
        <v>874</v>
      </c>
      <c r="Q66" s="57" t="s">
        <v>887</v>
      </c>
      <c r="T66" s="57" t="s">
        <v>946</v>
      </c>
      <c r="U66" s="57" t="s">
        <v>1109</v>
      </c>
      <c r="V66" s="56" t="s">
        <v>1057</v>
      </c>
      <c r="W66" s="60">
        <v>0</v>
      </c>
      <c r="X66" s="56" t="s">
        <v>1490</v>
      </c>
      <c r="Y66" s="56" t="s">
        <v>1489</v>
      </c>
      <c r="Z66" s="56" t="s">
        <v>1490</v>
      </c>
      <c r="AA66" s="56" t="s">
        <v>1490</v>
      </c>
      <c r="AB66" s="56" t="s">
        <v>1490</v>
      </c>
      <c r="AC66" s="56" t="s">
        <v>1490</v>
      </c>
      <c r="AD66" s="56" t="s">
        <v>1490</v>
      </c>
      <c r="AE66" s="56" t="s">
        <v>1490</v>
      </c>
      <c r="AF66" s="56" t="s">
        <v>1490</v>
      </c>
      <c r="AG66" s="56" t="s">
        <v>1490</v>
      </c>
      <c r="AH66" s="56" t="s">
        <v>1490</v>
      </c>
      <c r="AI66" s="56" t="s">
        <v>1490</v>
      </c>
      <c r="AJ66" s="56" t="s">
        <v>1490</v>
      </c>
      <c r="AK66" s="56" t="s">
        <v>1490</v>
      </c>
    </row>
    <row r="67" spans="1:37" s="56" customFormat="1" ht="30" customHeight="1" x14ac:dyDescent="0.25">
      <c r="A67" s="56">
        <v>66</v>
      </c>
      <c r="B67" s="57" t="s">
        <v>97</v>
      </c>
      <c r="C67" s="57" t="s">
        <v>388</v>
      </c>
      <c r="H67" s="58"/>
      <c r="I67" s="59"/>
      <c r="J67" s="56" t="e">
        <f>VLOOKUP(Table1[[#This Row],[Project Code]],'[6]Combined Nov''25'!$E:$O,10,FALSE)</f>
        <v>#N/A</v>
      </c>
      <c r="K67" s="57" t="s">
        <v>684</v>
      </c>
      <c r="L67" s="57"/>
      <c r="M67" s="56" t="s">
        <v>849</v>
      </c>
      <c r="N67" s="73" t="e">
        <f>VLOOKUP(Table1[[#This Row],[Project Code]],'[6]Combined Nov''25'!$E:$K,7,FALSE)</f>
        <v>#N/A</v>
      </c>
      <c r="O67" s="57" t="s">
        <v>861</v>
      </c>
      <c r="P67" s="56" t="s">
        <v>864</v>
      </c>
      <c r="Q67" s="57" t="s">
        <v>887</v>
      </c>
      <c r="T67" s="57" t="e">
        <f>VLOOKUP(Table1[[#This Row],[Project Code]],'[6]Combined Nov''25'!$E:$P,12,FALSE)</f>
        <v>#N/A</v>
      </c>
      <c r="U67" s="57" t="e">
        <v>#N/A</v>
      </c>
      <c r="V67" s="56" t="e">
        <v>#N/A</v>
      </c>
      <c r="W67" s="60" t="e">
        <v>#N/A</v>
      </c>
      <c r="X67" s="56" t="s">
        <v>1490</v>
      </c>
      <c r="Y67" s="56" t="s">
        <v>1489</v>
      </c>
      <c r="Z67" s="56" t="s">
        <v>1490</v>
      </c>
      <c r="AA67" s="56" t="s">
        <v>1490</v>
      </c>
      <c r="AB67" s="56" t="s">
        <v>1490</v>
      </c>
      <c r="AC67" s="56" t="s">
        <v>1490</v>
      </c>
      <c r="AD67" s="56" t="s">
        <v>1490</v>
      </c>
      <c r="AE67" s="56" t="s">
        <v>1490</v>
      </c>
      <c r="AF67" s="56" t="s">
        <v>1490</v>
      </c>
      <c r="AG67" s="56" t="s">
        <v>1490</v>
      </c>
      <c r="AH67" s="56" t="s">
        <v>1490</v>
      </c>
      <c r="AI67" s="56" t="s">
        <v>1490</v>
      </c>
      <c r="AJ67" s="56" t="s">
        <v>1490</v>
      </c>
      <c r="AK67" s="56" t="s">
        <v>1490</v>
      </c>
    </row>
    <row r="68" spans="1:37" s="56" customFormat="1" ht="30" customHeight="1" x14ac:dyDescent="0.25">
      <c r="A68" s="56">
        <v>67</v>
      </c>
      <c r="B68" s="57" t="s">
        <v>98</v>
      </c>
      <c r="C68" s="57" t="s">
        <v>389</v>
      </c>
      <c r="H68" s="58"/>
      <c r="I68" s="59"/>
      <c r="J68" s="56" t="e">
        <f>VLOOKUP(Table1[[#This Row],[Project Code]],'[6]Combined Nov''25'!$E:$O,10,FALSE)</f>
        <v>#N/A</v>
      </c>
      <c r="K68" s="57" t="s">
        <v>681</v>
      </c>
      <c r="L68" s="57"/>
      <c r="M68" s="56" t="s">
        <v>843</v>
      </c>
      <c r="N68" s="73" t="e">
        <f>VLOOKUP(Table1[[#This Row],[Project Code]],'[6]Combined Nov''25'!$E:$K,7,FALSE)</f>
        <v>#N/A</v>
      </c>
      <c r="O68" s="57" t="s">
        <v>855</v>
      </c>
      <c r="P68" s="56" t="s">
        <v>864</v>
      </c>
      <c r="Q68" s="57" t="s">
        <v>855</v>
      </c>
      <c r="T68" s="57" t="e">
        <f>VLOOKUP(Table1[[#This Row],[Project Code]],'[6]Combined Nov''25'!$E:$P,12,FALSE)</f>
        <v>#N/A</v>
      </c>
      <c r="U68" s="57" t="e">
        <v>#N/A</v>
      </c>
      <c r="V68" s="56" t="e">
        <v>#N/A</v>
      </c>
      <c r="W68" s="60" t="e">
        <v>#N/A</v>
      </c>
      <c r="X68" s="56" t="s">
        <v>1490</v>
      </c>
      <c r="Y68" s="56" t="s">
        <v>1489</v>
      </c>
      <c r="Z68" s="56" t="s">
        <v>1490</v>
      </c>
      <c r="AA68" s="56" t="s">
        <v>1490</v>
      </c>
      <c r="AB68" s="56" t="s">
        <v>1490</v>
      </c>
      <c r="AC68" s="56" t="s">
        <v>1490</v>
      </c>
      <c r="AD68" s="56" t="s">
        <v>1490</v>
      </c>
      <c r="AE68" s="56" t="s">
        <v>1490</v>
      </c>
      <c r="AF68" s="56" t="s">
        <v>1490</v>
      </c>
      <c r="AG68" s="56" t="s">
        <v>1490</v>
      </c>
      <c r="AH68" s="56" t="s">
        <v>1490</v>
      </c>
      <c r="AI68" s="56" t="s">
        <v>1490</v>
      </c>
      <c r="AJ68" s="56" t="s">
        <v>1490</v>
      </c>
      <c r="AK68" s="56" t="s">
        <v>1490</v>
      </c>
    </row>
    <row r="69" spans="1:37" s="56" customFormat="1" ht="30" customHeight="1" x14ac:dyDescent="0.25">
      <c r="A69" s="56">
        <v>68</v>
      </c>
      <c r="B69" s="57" t="s">
        <v>99</v>
      </c>
      <c r="C69" s="57" t="s">
        <v>390</v>
      </c>
      <c r="D69" s="56" t="s">
        <v>615</v>
      </c>
      <c r="E69" s="56" t="s">
        <v>633</v>
      </c>
      <c r="G69" s="56" t="str">
        <f>VLOOKUP(Table1[[#This Row],[Project Code]],[1]Combined!$E:$I,5,FALSE)</f>
        <v>Completed</v>
      </c>
      <c r="H69" s="58">
        <f>VLOOKUP(Table1[[#This Row],[Project Code]],'[2]Combined '!$E:$N,8,FALSE)</f>
        <v>43626</v>
      </c>
      <c r="I69" s="59"/>
      <c r="K69" s="69" t="s">
        <v>680</v>
      </c>
      <c r="L69" s="69" t="s">
        <v>691</v>
      </c>
      <c r="M69" s="73" t="s">
        <v>843</v>
      </c>
      <c r="N69" s="73" t="s">
        <v>901</v>
      </c>
      <c r="O69" s="69" t="s">
        <v>856</v>
      </c>
      <c r="P69" s="73" t="s">
        <v>864</v>
      </c>
      <c r="Q69" s="57" t="s">
        <v>887</v>
      </c>
      <c r="T69" s="57" t="s">
        <v>947</v>
      </c>
      <c r="U69" s="57" t="s">
        <v>1110</v>
      </c>
      <c r="V69" s="56">
        <v>0</v>
      </c>
      <c r="W69" s="60">
        <v>0</v>
      </c>
      <c r="X69" s="56" t="s">
        <v>1490</v>
      </c>
      <c r="Y69" s="56" t="s">
        <v>1491</v>
      </c>
      <c r="Z69" s="56" t="s">
        <v>1490</v>
      </c>
      <c r="AA69" s="56" t="s">
        <v>1490</v>
      </c>
      <c r="AB69" s="56" t="s">
        <v>1490</v>
      </c>
      <c r="AC69" s="56" t="s">
        <v>1490</v>
      </c>
      <c r="AD69" s="56" t="s">
        <v>1490</v>
      </c>
      <c r="AE69" s="56" t="s">
        <v>1490</v>
      </c>
      <c r="AF69" s="56" t="s">
        <v>1490</v>
      </c>
      <c r="AG69" s="56" t="s">
        <v>1490</v>
      </c>
      <c r="AH69" s="56" t="s">
        <v>1490</v>
      </c>
      <c r="AI69" s="56" t="s">
        <v>1490</v>
      </c>
      <c r="AJ69" s="56" t="s">
        <v>1490</v>
      </c>
      <c r="AK69" s="56" t="s">
        <v>1490</v>
      </c>
    </row>
    <row r="70" spans="1:37" s="56" customFormat="1" ht="30" customHeight="1" x14ac:dyDescent="0.25">
      <c r="A70" s="56">
        <v>69</v>
      </c>
      <c r="B70" s="57" t="s">
        <v>100</v>
      </c>
      <c r="C70" s="57" t="s">
        <v>391</v>
      </c>
      <c r="H70" s="58"/>
      <c r="I70" s="59"/>
      <c r="J70" s="56" t="e">
        <f>VLOOKUP(Table1[[#This Row],[Project Code]],'[6]Combined Nov''25'!$E:$O,10,FALSE)</f>
        <v>#N/A</v>
      </c>
      <c r="K70" s="69" t="e">
        <f>VLOOKUP(Table1[[#This Row],[Project Code]],'[6]Combined Nov''25'!$E:$K,6,FALSE)</f>
        <v>#N/A</v>
      </c>
      <c r="L70" s="57" t="s">
        <v>795</v>
      </c>
      <c r="M70" s="56" t="s">
        <v>843</v>
      </c>
      <c r="N70" s="73" t="e">
        <f>VLOOKUP(Table1[[#This Row],[Project Code]],'[6]Combined Nov''25'!$E:$K,7,FALSE)</f>
        <v>#N/A</v>
      </c>
      <c r="O70" s="57" t="s">
        <v>863</v>
      </c>
      <c r="P70" s="56" t="s">
        <v>864</v>
      </c>
      <c r="Q70" s="57" t="s">
        <v>887</v>
      </c>
      <c r="T70" s="57" t="e">
        <f>VLOOKUP(Table1[[#This Row],[Project Code]],'[6]Combined Nov''25'!$E:$P,12,FALSE)</f>
        <v>#N/A</v>
      </c>
      <c r="U70" s="57" t="e">
        <v>#N/A</v>
      </c>
      <c r="V70" s="56" t="e">
        <v>#N/A</v>
      </c>
      <c r="W70" s="60" t="e">
        <v>#N/A</v>
      </c>
      <c r="X70" s="56" t="s">
        <v>1490</v>
      </c>
      <c r="Y70" s="56" t="s">
        <v>1489</v>
      </c>
      <c r="Z70" s="56" t="s">
        <v>1490</v>
      </c>
      <c r="AA70" s="56" t="s">
        <v>1490</v>
      </c>
      <c r="AB70" s="56" t="s">
        <v>1490</v>
      </c>
      <c r="AC70" s="56" t="s">
        <v>1490</v>
      </c>
      <c r="AD70" s="56" t="s">
        <v>1490</v>
      </c>
      <c r="AE70" s="56" t="s">
        <v>1490</v>
      </c>
      <c r="AF70" s="56" t="s">
        <v>1490</v>
      </c>
      <c r="AG70" s="56" t="s">
        <v>1490</v>
      </c>
      <c r="AH70" s="56" t="s">
        <v>1490</v>
      </c>
      <c r="AI70" s="56" t="s">
        <v>1490</v>
      </c>
      <c r="AJ70" s="56" t="s">
        <v>1490</v>
      </c>
      <c r="AK70" s="56" t="s">
        <v>1490</v>
      </c>
    </row>
    <row r="71" spans="1:37" s="56" customFormat="1" ht="30" customHeight="1" x14ac:dyDescent="0.25">
      <c r="A71" s="56">
        <v>70</v>
      </c>
      <c r="B71" s="57" t="s">
        <v>101</v>
      </c>
      <c r="C71" s="57" t="s">
        <v>392</v>
      </c>
      <c r="H71" s="58"/>
      <c r="I71" s="59"/>
      <c r="J71" s="56" t="e">
        <f>VLOOKUP(Table1[[#This Row],[Project Code]],'[6]Combined Nov''25'!$E:$O,10,FALSE)</f>
        <v>#N/A</v>
      </c>
      <c r="K71" s="69" t="e">
        <f>VLOOKUP(Table1[[#This Row],[Project Code]],'[6]Combined Nov''25'!$E:$K,6,FALSE)</f>
        <v>#N/A</v>
      </c>
      <c r="L71" s="57" t="s">
        <v>800</v>
      </c>
      <c r="M71" s="56" t="s">
        <v>843</v>
      </c>
      <c r="N71" s="73" t="e">
        <f>VLOOKUP(Table1[[#This Row],[Project Code]],'[6]Combined Nov''25'!$E:$K,7,FALSE)</f>
        <v>#N/A</v>
      </c>
      <c r="O71" s="57" t="s">
        <v>858</v>
      </c>
      <c r="P71" s="56" t="s">
        <v>864</v>
      </c>
      <c r="Q71" s="57" t="s">
        <v>887</v>
      </c>
      <c r="T71" s="57" t="e">
        <f>VLOOKUP(Table1[[#This Row],[Project Code]],'[6]Combined Nov''25'!$E:$P,12,FALSE)</f>
        <v>#N/A</v>
      </c>
      <c r="U71" s="57" t="e">
        <v>#N/A</v>
      </c>
      <c r="V71" s="56" t="e">
        <v>#N/A</v>
      </c>
      <c r="W71" s="60" t="e">
        <v>#N/A</v>
      </c>
      <c r="X71" s="56" t="s">
        <v>1490</v>
      </c>
      <c r="Y71" s="56" t="s">
        <v>1489</v>
      </c>
      <c r="Z71" s="56" t="s">
        <v>1490</v>
      </c>
      <c r="AA71" s="56" t="s">
        <v>1490</v>
      </c>
      <c r="AB71" s="56" t="s">
        <v>1490</v>
      </c>
      <c r="AC71" s="56" t="s">
        <v>1490</v>
      </c>
      <c r="AD71" s="56" t="s">
        <v>1490</v>
      </c>
      <c r="AE71" s="56" t="s">
        <v>1490</v>
      </c>
      <c r="AF71" s="56" t="s">
        <v>1490</v>
      </c>
      <c r="AG71" s="56" t="s">
        <v>1490</v>
      </c>
      <c r="AH71" s="56" t="s">
        <v>1490</v>
      </c>
      <c r="AI71" s="56" t="s">
        <v>1490</v>
      </c>
      <c r="AJ71" s="56" t="s">
        <v>1490</v>
      </c>
      <c r="AK71" s="56" t="s">
        <v>1490</v>
      </c>
    </row>
    <row r="72" spans="1:37" s="56" customFormat="1" ht="30" customHeight="1" x14ac:dyDescent="0.25">
      <c r="A72" s="56">
        <v>71</v>
      </c>
      <c r="B72" s="57" t="s">
        <v>102</v>
      </c>
      <c r="C72" s="57" t="s">
        <v>393</v>
      </c>
      <c r="H72" s="58"/>
      <c r="I72" s="59"/>
      <c r="J72" s="56" t="e">
        <f>VLOOKUP(Table1[[#This Row],[Project Code]],'[6]Combined Nov''25'!$E:$O,10,FALSE)</f>
        <v>#N/A</v>
      </c>
      <c r="K72" s="69" t="e">
        <f>VLOOKUP(Table1[[#This Row],[Project Code]],'[6]Combined Nov''25'!$E:$K,6,FALSE)</f>
        <v>#N/A</v>
      </c>
      <c r="L72" s="57" t="s">
        <v>778</v>
      </c>
      <c r="M72" s="56" t="s">
        <v>843</v>
      </c>
      <c r="N72" s="73" t="e">
        <f>VLOOKUP(Table1[[#This Row],[Project Code]],'[6]Combined Nov''25'!$E:$K,7,FALSE)</f>
        <v>#N/A</v>
      </c>
      <c r="O72" s="57" t="s">
        <v>859</v>
      </c>
      <c r="P72" s="56" t="s">
        <v>864</v>
      </c>
      <c r="Q72" s="57" t="s">
        <v>887</v>
      </c>
      <c r="T72" s="57" t="e">
        <f>VLOOKUP(Table1[[#This Row],[Project Code]],'[6]Combined Nov''25'!$E:$P,12,FALSE)</f>
        <v>#N/A</v>
      </c>
      <c r="U72" s="57" t="e">
        <v>#N/A</v>
      </c>
      <c r="V72" s="56" t="e">
        <v>#N/A</v>
      </c>
      <c r="W72" s="60" t="e">
        <v>#N/A</v>
      </c>
      <c r="X72" s="56" t="s">
        <v>1490</v>
      </c>
      <c r="Y72" s="56" t="s">
        <v>1489</v>
      </c>
      <c r="Z72" s="56" t="s">
        <v>1490</v>
      </c>
      <c r="AA72" s="56" t="s">
        <v>1490</v>
      </c>
      <c r="AB72" s="56" t="s">
        <v>1490</v>
      </c>
      <c r="AC72" s="56" t="s">
        <v>1490</v>
      </c>
      <c r="AD72" s="56" t="s">
        <v>1490</v>
      </c>
      <c r="AE72" s="56" t="s">
        <v>1490</v>
      </c>
      <c r="AF72" s="56" t="s">
        <v>1490</v>
      </c>
      <c r="AG72" s="56" t="s">
        <v>1490</v>
      </c>
      <c r="AH72" s="56" t="s">
        <v>1490</v>
      </c>
      <c r="AI72" s="56" t="s">
        <v>1490</v>
      </c>
      <c r="AJ72" s="56" t="s">
        <v>1490</v>
      </c>
      <c r="AK72" s="56" t="s">
        <v>1490</v>
      </c>
    </row>
    <row r="73" spans="1:37" s="56" customFormat="1" ht="30" customHeight="1" x14ac:dyDescent="0.25">
      <c r="A73" s="56">
        <v>72</v>
      </c>
      <c r="B73" s="57" t="s">
        <v>103</v>
      </c>
      <c r="C73" s="57" t="s">
        <v>394</v>
      </c>
      <c r="H73" s="58"/>
      <c r="I73" s="59"/>
      <c r="J73" s="56" t="e">
        <f>VLOOKUP(Table1[[#This Row],[Project Code]],'[6]Combined Nov''25'!$E:$O,10,FALSE)</f>
        <v>#N/A</v>
      </c>
      <c r="K73" s="69" t="e">
        <f>VLOOKUP(Table1[[#This Row],[Project Code]],'[6]Combined Nov''25'!$E:$K,6,FALSE)</f>
        <v>#N/A</v>
      </c>
      <c r="L73" s="57" t="s">
        <v>784</v>
      </c>
      <c r="M73" s="56" t="s">
        <v>843</v>
      </c>
      <c r="N73" s="73" t="e">
        <f>VLOOKUP(Table1[[#This Row],[Project Code]],'[6]Combined Nov''25'!$E:$K,7,FALSE)</f>
        <v>#N/A</v>
      </c>
      <c r="O73" s="57" t="s">
        <v>863</v>
      </c>
      <c r="P73" s="56" t="s">
        <v>864</v>
      </c>
      <c r="Q73" s="57" t="s">
        <v>886</v>
      </c>
      <c r="T73" s="57" t="e">
        <f>VLOOKUP(Table1[[#This Row],[Project Code]],'[6]Combined Nov''25'!$E:$P,12,FALSE)</f>
        <v>#N/A</v>
      </c>
      <c r="U73" s="57" t="e">
        <v>#N/A</v>
      </c>
      <c r="V73" s="56" t="e">
        <v>#N/A</v>
      </c>
      <c r="W73" s="60" t="e">
        <v>#N/A</v>
      </c>
      <c r="X73" s="56" t="s">
        <v>1490</v>
      </c>
      <c r="Y73" s="56" t="s">
        <v>1489</v>
      </c>
      <c r="Z73" s="56" t="s">
        <v>1490</v>
      </c>
      <c r="AA73" s="56" t="s">
        <v>1490</v>
      </c>
      <c r="AB73" s="56" t="s">
        <v>1490</v>
      </c>
      <c r="AC73" s="56" t="s">
        <v>1490</v>
      </c>
      <c r="AD73" s="56" t="s">
        <v>1490</v>
      </c>
      <c r="AE73" s="56" t="s">
        <v>1490</v>
      </c>
      <c r="AF73" s="56" t="s">
        <v>1490</v>
      </c>
      <c r="AG73" s="56" t="s">
        <v>1490</v>
      </c>
      <c r="AH73" s="56" t="s">
        <v>1490</v>
      </c>
      <c r="AI73" s="56" t="s">
        <v>1490</v>
      </c>
      <c r="AJ73" s="56" t="s">
        <v>1490</v>
      </c>
      <c r="AK73" s="56" t="s">
        <v>1490</v>
      </c>
    </row>
    <row r="74" spans="1:37" s="56" customFormat="1" ht="30" customHeight="1" x14ac:dyDescent="0.25">
      <c r="A74" s="56">
        <v>73</v>
      </c>
      <c r="B74" s="57" t="s">
        <v>104</v>
      </c>
      <c r="C74" s="57" t="s">
        <v>395</v>
      </c>
      <c r="H74" s="58"/>
      <c r="I74" s="59"/>
      <c r="J74" s="56" t="e">
        <f>VLOOKUP(Table1[[#This Row],[Project Code]],'[6]Combined Nov''25'!$E:$O,10,FALSE)</f>
        <v>#N/A</v>
      </c>
      <c r="K74" s="69" t="e">
        <f>VLOOKUP(Table1[[#This Row],[Project Code]],'[6]Combined Nov''25'!$E:$K,6,FALSE)</f>
        <v>#N/A</v>
      </c>
      <c r="L74" s="57" t="s">
        <v>767</v>
      </c>
      <c r="M74" s="56" t="s">
        <v>844</v>
      </c>
      <c r="N74" s="73" t="e">
        <f>VLOOKUP(Table1[[#This Row],[Project Code]],'[6]Combined Nov''25'!$E:$K,7,FALSE)</f>
        <v>#N/A</v>
      </c>
      <c r="O74" s="57" t="s">
        <v>859</v>
      </c>
      <c r="P74" s="56" t="s">
        <v>865</v>
      </c>
      <c r="Q74" s="57" t="s">
        <v>887</v>
      </c>
      <c r="T74" s="57" t="e">
        <f>VLOOKUP(Table1[[#This Row],[Project Code]],'[6]Combined Nov''25'!$E:$P,12,FALSE)</f>
        <v>#N/A</v>
      </c>
      <c r="U74" s="57" t="e">
        <v>#N/A</v>
      </c>
      <c r="V74" s="56" t="e">
        <v>#N/A</v>
      </c>
      <c r="W74" s="60" t="e">
        <v>#N/A</v>
      </c>
      <c r="X74" s="56" t="s">
        <v>1490</v>
      </c>
      <c r="Y74" s="56" t="s">
        <v>1489</v>
      </c>
      <c r="Z74" s="56" t="s">
        <v>1490</v>
      </c>
      <c r="AA74" s="56" t="s">
        <v>1490</v>
      </c>
      <c r="AB74" s="56" t="s">
        <v>1490</v>
      </c>
      <c r="AC74" s="56" t="s">
        <v>1490</v>
      </c>
      <c r="AD74" s="56" t="s">
        <v>1490</v>
      </c>
      <c r="AE74" s="56" t="s">
        <v>1490</v>
      </c>
      <c r="AF74" s="56" t="s">
        <v>1490</v>
      </c>
      <c r="AG74" s="56" t="s">
        <v>1490</v>
      </c>
      <c r="AH74" s="56" t="s">
        <v>1490</v>
      </c>
      <c r="AI74" s="56" t="s">
        <v>1490</v>
      </c>
      <c r="AJ74" s="56" t="s">
        <v>1490</v>
      </c>
      <c r="AK74" s="56" t="s">
        <v>1490</v>
      </c>
    </row>
    <row r="75" spans="1:37" s="56" customFormat="1" ht="30" customHeight="1" x14ac:dyDescent="0.25">
      <c r="A75" s="56">
        <v>74</v>
      </c>
      <c r="B75" s="57" t="s">
        <v>105</v>
      </c>
      <c r="C75" s="57" t="s">
        <v>396</v>
      </c>
      <c r="H75" s="58"/>
      <c r="I75" s="59"/>
      <c r="J75" s="56" t="e">
        <f>VLOOKUP(Table1[[#This Row],[Project Code]],'[6]Combined Nov''25'!$E:$O,10,FALSE)</f>
        <v>#N/A</v>
      </c>
      <c r="K75" s="69" t="e">
        <f>VLOOKUP(Table1[[#This Row],[Project Code]],'[6]Combined Nov''25'!$E:$K,6,FALSE)</f>
        <v>#N/A</v>
      </c>
      <c r="L75" s="57" t="s">
        <v>768</v>
      </c>
      <c r="M75" s="56" t="s">
        <v>844</v>
      </c>
      <c r="N75" s="73" t="e">
        <f>VLOOKUP(Table1[[#This Row],[Project Code]],'[6]Combined Nov''25'!$E:$K,7,FALSE)</f>
        <v>#N/A</v>
      </c>
      <c r="O75" s="57" t="s">
        <v>859</v>
      </c>
      <c r="P75" s="56" t="s">
        <v>866</v>
      </c>
      <c r="Q75" s="57" t="s">
        <v>887</v>
      </c>
      <c r="T75" s="57" t="e">
        <f>VLOOKUP(Table1[[#This Row],[Project Code]],'[6]Combined Nov''25'!$E:$P,12,FALSE)</f>
        <v>#N/A</v>
      </c>
      <c r="U75" s="57" t="e">
        <v>#N/A</v>
      </c>
      <c r="V75" s="56" t="e">
        <v>#N/A</v>
      </c>
      <c r="W75" s="60" t="e">
        <v>#N/A</v>
      </c>
      <c r="X75" s="56" t="s">
        <v>1490</v>
      </c>
      <c r="Y75" s="56" t="s">
        <v>1489</v>
      </c>
      <c r="Z75" s="56" t="s">
        <v>1490</v>
      </c>
      <c r="AA75" s="56" t="s">
        <v>1490</v>
      </c>
      <c r="AB75" s="56" t="s">
        <v>1490</v>
      </c>
      <c r="AC75" s="56" t="s">
        <v>1490</v>
      </c>
      <c r="AD75" s="56" t="s">
        <v>1490</v>
      </c>
      <c r="AE75" s="56" t="s">
        <v>1490</v>
      </c>
      <c r="AF75" s="56" t="s">
        <v>1490</v>
      </c>
      <c r="AG75" s="56" t="s">
        <v>1490</v>
      </c>
      <c r="AH75" s="56" t="s">
        <v>1490</v>
      </c>
      <c r="AI75" s="56" t="s">
        <v>1490</v>
      </c>
      <c r="AJ75" s="56" t="s">
        <v>1490</v>
      </c>
      <c r="AK75" s="56" t="s">
        <v>1490</v>
      </c>
    </row>
    <row r="76" spans="1:37" s="56" customFormat="1" ht="30" customHeight="1" x14ac:dyDescent="0.25">
      <c r="A76" s="56">
        <v>75</v>
      </c>
      <c r="B76" s="57" t="s">
        <v>106</v>
      </c>
      <c r="C76" s="57" t="s">
        <v>397</v>
      </c>
      <c r="H76" s="58"/>
      <c r="I76" s="59"/>
      <c r="J76" s="56" t="e">
        <f>VLOOKUP(Table1[[#This Row],[Project Code]],'[6]Combined Nov''25'!$E:$O,10,FALSE)</f>
        <v>#N/A</v>
      </c>
      <c r="K76" s="69" t="e">
        <f>VLOOKUP(Table1[[#This Row],[Project Code]],'[6]Combined Nov''25'!$E:$K,6,FALSE)</f>
        <v>#N/A</v>
      </c>
      <c r="L76" s="57" t="s">
        <v>801</v>
      </c>
      <c r="M76" s="56" t="s">
        <v>844</v>
      </c>
      <c r="N76" s="73" t="e">
        <f>VLOOKUP(Table1[[#This Row],[Project Code]],'[6]Combined Nov''25'!$E:$K,7,FALSE)</f>
        <v>#N/A</v>
      </c>
      <c r="O76" s="57" t="s">
        <v>859</v>
      </c>
      <c r="P76" s="56" t="s">
        <v>875</v>
      </c>
      <c r="Q76" s="57" t="s">
        <v>887</v>
      </c>
      <c r="T76" s="57" t="e">
        <f>VLOOKUP(Table1[[#This Row],[Project Code]],'[6]Combined Nov''25'!$E:$P,12,FALSE)</f>
        <v>#N/A</v>
      </c>
      <c r="U76" s="57" t="e">
        <v>#N/A</v>
      </c>
      <c r="V76" s="56" t="e">
        <v>#N/A</v>
      </c>
      <c r="W76" s="60" t="e">
        <v>#N/A</v>
      </c>
      <c r="X76" s="56" t="s">
        <v>1490</v>
      </c>
      <c r="Y76" s="56" t="s">
        <v>1489</v>
      </c>
      <c r="Z76" s="56" t="s">
        <v>1490</v>
      </c>
      <c r="AA76" s="56" t="s">
        <v>1490</v>
      </c>
      <c r="AB76" s="56" t="s">
        <v>1490</v>
      </c>
      <c r="AC76" s="56" t="s">
        <v>1490</v>
      </c>
      <c r="AD76" s="56" t="s">
        <v>1490</v>
      </c>
      <c r="AE76" s="56" t="s">
        <v>1490</v>
      </c>
      <c r="AF76" s="56" t="s">
        <v>1490</v>
      </c>
      <c r="AG76" s="56" t="s">
        <v>1490</v>
      </c>
      <c r="AH76" s="56" t="s">
        <v>1490</v>
      </c>
      <c r="AI76" s="56" t="s">
        <v>1490</v>
      </c>
      <c r="AJ76" s="56" t="s">
        <v>1490</v>
      </c>
      <c r="AK76" s="56" t="s">
        <v>1490</v>
      </c>
    </row>
    <row r="77" spans="1:37" s="56" customFormat="1" ht="30" customHeight="1" x14ac:dyDescent="0.25">
      <c r="A77" s="56">
        <v>76</v>
      </c>
      <c r="B77" s="57" t="s">
        <v>107</v>
      </c>
      <c r="C77" s="57" t="s">
        <v>398</v>
      </c>
      <c r="H77" s="58"/>
      <c r="I77" s="59"/>
      <c r="J77" s="56" t="e">
        <f>VLOOKUP(Table1[[#This Row],[Project Code]],'[6]Combined Nov''25'!$E:$O,10,FALSE)</f>
        <v>#N/A</v>
      </c>
      <c r="K77" s="57" t="s">
        <v>681</v>
      </c>
      <c r="L77" s="57"/>
      <c r="M77" s="56" t="s">
        <v>843</v>
      </c>
      <c r="N77" s="73" t="e">
        <f>VLOOKUP(Table1[[#This Row],[Project Code]],'[6]Combined Nov''25'!$E:$K,7,FALSE)</f>
        <v>#N/A</v>
      </c>
      <c r="O77" s="57" t="s">
        <v>855</v>
      </c>
      <c r="P77" s="56" t="s">
        <v>864</v>
      </c>
      <c r="Q77" s="57" t="s">
        <v>855</v>
      </c>
      <c r="T77" s="57" t="e">
        <f>VLOOKUP(Table1[[#This Row],[Project Code]],'[6]Combined Nov''25'!$E:$P,12,FALSE)</f>
        <v>#N/A</v>
      </c>
      <c r="U77" s="57" t="e">
        <v>#N/A</v>
      </c>
      <c r="V77" s="56" t="e">
        <v>#N/A</v>
      </c>
      <c r="W77" s="60" t="e">
        <v>#N/A</v>
      </c>
      <c r="X77" s="56" t="s">
        <v>1490</v>
      </c>
      <c r="Y77" s="56" t="s">
        <v>1489</v>
      </c>
      <c r="Z77" s="56" t="s">
        <v>1490</v>
      </c>
      <c r="AA77" s="56" t="s">
        <v>1490</v>
      </c>
      <c r="AB77" s="56" t="s">
        <v>1490</v>
      </c>
      <c r="AC77" s="56" t="s">
        <v>1490</v>
      </c>
      <c r="AD77" s="56" t="s">
        <v>1490</v>
      </c>
      <c r="AE77" s="56" t="s">
        <v>1490</v>
      </c>
      <c r="AF77" s="56" t="s">
        <v>1490</v>
      </c>
      <c r="AG77" s="56" t="s">
        <v>1490</v>
      </c>
      <c r="AH77" s="56" t="s">
        <v>1490</v>
      </c>
      <c r="AI77" s="56" t="s">
        <v>1490</v>
      </c>
      <c r="AJ77" s="56" t="s">
        <v>1490</v>
      </c>
      <c r="AK77" s="56" t="s">
        <v>1490</v>
      </c>
    </row>
    <row r="78" spans="1:37" s="56" customFormat="1" ht="30" customHeight="1" x14ac:dyDescent="0.25">
      <c r="A78" s="56">
        <v>77</v>
      </c>
      <c r="B78" s="57" t="s">
        <v>108</v>
      </c>
      <c r="C78" s="57" t="s">
        <v>399</v>
      </c>
      <c r="H78" s="58"/>
      <c r="I78" s="59"/>
      <c r="J78" s="56" t="e">
        <f>VLOOKUP(Table1[[#This Row],[Project Code]],'[6]Combined Nov''25'!$E:$O,10,FALSE)</f>
        <v>#N/A</v>
      </c>
      <c r="K78" s="57" t="s">
        <v>685</v>
      </c>
      <c r="L78" s="57"/>
      <c r="M78" s="56" t="s">
        <v>843</v>
      </c>
      <c r="N78" s="73" t="e">
        <f>VLOOKUP(Table1[[#This Row],[Project Code]],'[6]Combined Nov''25'!$E:$K,7,FALSE)</f>
        <v>#N/A</v>
      </c>
      <c r="O78" s="57" t="s">
        <v>856</v>
      </c>
      <c r="P78" s="56" t="s">
        <v>864</v>
      </c>
      <c r="Q78" s="57" t="s">
        <v>888</v>
      </c>
      <c r="T78" s="57" t="e">
        <f>VLOOKUP(Table1[[#This Row],[Project Code]],'[6]Combined Nov''25'!$E:$P,12,FALSE)</f>
        <v>#N/A</v>
      </c>
      <c r="U78" s="57" t="e">
        <v>#N/A</v>
      </c>
      <c r="V78" s="56" t="e">
        <v>#N/A</v>
      </c>
      <c r="W78" s="60" t="e">
        <v>#N/A</v>
      </c>
      <c r="X78" s="56" t="s">
        <v>1490</v>
      </c>
      <c r="Y78" s="56" t="s">
        <v>1489</v>
      </c>
      <c r="Z78" s="56" t="s">
        <v>1490</v>
      </c>
      <c r="AA78" s="56" t="s">
        <v>1490</v>
      </c>
      <c r="AB78" s="56" t="s">
        <v>1490</v>
      </c>
      <c r="AC78" s="56" t="s">
        <v>1490</v>
      </c>
      <c r="AD78" s="56" t="s">
        <v>1490</v>
      </c>
      <c r="AE78" s="56" t="s">
        <v>1490</v>
      </c>
      <c r="AF78" s="56" t="s">
        <v>1490</v>
      </c>
      <c r="AG78" s="56" t="s">
        <v>1490</v>
      </c>
      <c r="AH78" s="56" t="s">
        <v>1490</v>
      </c>
      <c r="AI78" s="56" t="s">
        <v>1490</v>
      </c>
      <c r="AJ78" s="56" t="s">
        <v>1490</v>
      </c>
      <c r="AK78" s="56" t="s">
        <v>1490</v>
      </c>
    </row>
    <row r="79" spans="1:37" s="56" customFormat="1" ht="30" customHeight="1" x14ac:dyDescent="0.25">
      <c r="A79" s="56">
        <v>78</v>
      </c>
      <c r="B79" s="57" t="s">
        <v>109</v>
      </c>
      <c r="C79" s="57" t="s">
        <v>400</v>
      </c>
      <c r="H79" s="58"/>
      <c r="I79" s="59"/>
      <c r="J79" s="56" t="e">
        <f>VLOOKUP(Table1[[#This Row],[Project Code]],'[6]Combined Nov''25'!$E:$O,10,FALSE)</f>
        <v>#N/A</v>
      </c>
      <c r="K79" s="69" t="e">
        <f>VLOOKUP(Table1[[#This Row],[Project Code]],'[6]Combined Nov''25'!$E:$K,6,FALSE)</f>
        <v>#N/A</v>
      </c>
      <c r="L79" s="57" t="s">
        <v>691</v>
      </c>
      <c r="M79" s="56" t="s">
        <v>843</v>
      </c>
      <c r="N79" s="73" t="e">
        <f>VLOOKUP(Table1[[#This Row],[Project Code]],'[6]Combined Nov''25'!$E:$K,7,FALSE)</f>
        <v>#N/A</v>
      </c>
      <c r="O79" s="57" t="s">
        <v>855</v>
      </c>
      <c r="P79" s="56" t="s">
        <v>864</v>
      </c>
      <c r="Q79" s="57" t="s">
        <v>887</v>
      </c>
      <c r="T79" s="57" t="e">
        <f>VLOOKUP(Table1[[#This Row],[Project Code]],'[6]Combined Nov''25'!$E:$P,12,FALSE)</f>
        <v>#N/A</v>
      </c>
      <c r="U79" s="57" t="e">
        <v>#N/A</v>
      </c>
      <c r="V79" s="56" t="e">
        <v>#N/A</v>
      </c>
      <c r="W79" s="60" t="e">
        <v>#N/A</v>
      </c>
      <c r="X79" s="56" t="s">
        <v>1490</v>
      </c>
      <c r="Y79" s="56" t="s">
        <v>1489</v>
      </c>
      <c r="Z79" s="56" t="s">
        <v>1490</v>
      </c>
      <c r="AA79" s="56" t="s">
        <v>1490</v>
      </c>
      <c r="AB79" s="56" t="s">
        <v>1490</v>
      </c>
      <c r="AC79" s="56" t="s">
        <v>1490</v>
      </c>
      <c r="AD79" s="56" t="s">
        <v>1490</v>
      </c>
      <c r="AE79" s="56" t="s">
        <v>1490</v>
      </c>
      <c r="AF79" s="56" t="s">
        <v>1490</v>
      </c>
      <c r="AG79" s="56" t="s">
        <v>1490</v>
      </c>
      <c r="AH79" s="56" t="s">
        <v>1490</v>
      </c>
      <c r="AI79" s="56" t="s">
        <v>1490</v>
      </c>
      <c r="AJ79" s="56" t="s">
        <v>1490</v>
      </c>
      <c r="AK79" s="56" t="s">
        <v>1490</v>
      </c>
    </row>
    <row r="80" spans="1:37" s="56" customFormat="1" ht="30" customHeight="1" x14ac:dyDescent="0.25">
      <c r="A80" s="56">
        <v>79</v>
      </c>
      <c r="B80" s="57" t="s">
        <v>110</v>
      </c>
      <c r="C80" s="57" t="s">
        <v>401</v>
      </c>
      <c r="H80" s="58"/>
      <c r="I80" s="59"/>
      <c r="J80" s="56" t="e">
        <f>VLOOKUP(Table1[[#This Row],[Project Code]],'[6]Combined Nov''25'!$E:$O,10,FALSE)</f>
        <v>#N/A</v>
      </c>
      <c r="K80" s="69" t="e">
        <f>VLOOKUP(Table1[[#This Row],[Project Code]],'[6]Combined Nov''25'!$E:$K,6,FALSE)</f>
        <v>#N/A</v>
      </c>
      <c r="L80" s="57" t="s">
        <v>796</v>
      </c>
      <c r="M80" s="56" t="s">
        <v>843</v>
      </c>
      <c r="N80" s="73" t="e">
        <f>VLOOKUP(Table1[[#This Row],[Project Code]],'[6]Combined Nov''25'!$E:$K,7,FALSE)</f>
        <v>#N/A</v>
      </c>
      <c r="O80" s="57" t="s">
        <v>856</v>
      </c>
      <c r="P80" s="56" t="s">
        <v>864</v>
      </c>
      <c r="Q80" s="57" t="s">
        <v>886</v>
      </c>
      <c r="T80" s="57" t="e">
        <f>VLOOKUP(Table1[[#This Row],[Project Code]],'[6]Combined Nov''25'!$E:$P,12,FALSE)</f>
        <v>#N/A</v>
      </c>
      <c r="U80" s="57" t="e">
        <v>#N/A</v>
      </c>
      <c r="V80" s="56" t="e">
        <v>#N/A</v>
      </c>
      <c r="W80" s="60" t="e">
        <v>#N/A</v>
      </c>
      <c r="X80" s="56" t="s">
        <v>1490</v>
      </c>
      <c r="Y80" s="56" t="s">
        <v>1490</v>
      </c>
      <c r="Z80" s="56" t="s">
        <v>1490</v>
      </c>
      <c r="AA80" s="56" t="s">
        <v>1490</v>
      </c>
      <c r="AB80" s="56" t="s">
        <v>1490</v>
      </c>
      <c r="AC80" s="56" t="s">
        <v>1490</v>
      </c>
      <c r="AD80" s="56" t="s">
        <v>1490</v>
      </c>
      <c r="AE80" s="56" t="s">
        <v>1490</v>
      </c>
      <c r="AF80" s="56" t="s">
        <v>1490</v>
      </c>
      <c r="AG80" s="56" t="s">
        <v>1490</v>
      </c>
      <c r="AH80" s="56" t="s">
        <v>1490</v>
      </c>
      <c r="AI80" s="56" t="s">
        <v>1490</v>
      </c>
      <c r="AJ80" s="56" t="s">
        <v>1490</v>
      </c>
      <c r="AK80" s="56" t="s">
        <v>1490</v>
      </c>
    </row>
    <row r="81" spans="1:37" s="56" customFormat="1" ht="30" customHeight="1" x14ac:dyDescent="0.25">
      <c r="A81" s="56">
        <v>80</v>
      </c>
      <c r="B81" s="57" t="s">
        <v>111</v>
      </c>
      <c r="C81" s="57" t="s">
        <v>402</v>
      </c>
      <c r="H81" s="58"/>
      <c r="I81" s="59"/>
      <c r="J81" s="56" t="e">
        <f>VLOOKUP(Table1[[#This Row],[Project Code]],'[6]Combined Nov''25'!$E:$O,10,FALSE)</f>
        <v>#N/A</v>
      </c>
      <c r="K81" s="69" t="e">
        <f>VLOOKUP(Table1[[#This Row],[Project Code]],'[6]Combined Nov''25'!$E:$K,6,FALSE)</f>
        <v>#N/A</v>
      </c>
      <c r="L81" s="57" t="s">
        <v>800</v>
      </c>
      <c r="M81" s="56" t="s">
        <v>843</v>
      </c>
      <c r="N81" s="73" t="e">
        <f>VLOOKUP(Table1[[#This Row],[Project Code]],'[6]Combined Nov''25'!$E:$K,7,FALSE)</f>
        <v>#N/A</v>
      </c>
      <c r="O81" s="57" t="s">
        <v>856</v>
      </c>
      <c r="P81" s="56" t="s">
        <v>864</v>
      </c>
      <c r="Q81" s="57" t="s">
        <v>886</v>
      </c>
      <c r="T81" s="57" t="e">
        <f>VLOOKUP(Table1[[#This Row],[Project Code]],'[6]Combined Nov''25'!$E:$P,12,FALSE)</f>
        <v>#N/A</v>
      </c>
      <c r="U81" s="57" t="e">
        <v>#N/A</v>
      </c>
      <c r="V81" s="56" t="e">
        <v>#N/A</v>
      </c>
      <c r="W81" s="60" t="e">
        <v>#N/A</v>
      </c>
      <c r="X81" s="56" t="s">
        <v>1490</v>
      </c>
      <c r="Y81" s="56" t="s">
        <v>1490</v>
      </c>
      <c r="Z81" s="56" t="s">
        <v>1490</v>
      </c>
      <c r="AA81" s="56" t="s">
        <v>1490</v>
      </c>
      <c r="AB81" s="56" t="s">
        <v>1490</v>
      </c>
      <c r="AC81" s="56" t="s">
        <v>1490</v>
      </c>
      <c r="AD81" s="56" t="s">
        <v>1490</v>
      </c>
      <c r="AE81" s="56" t="s">
        <v>1490</v>
      </c>
      <c r="AF81" s="56" t="s">
        <v>1490</v>
      </c>
      <c r="AG81" s="56" t="s">
        <v>1490</v>
      </c>
      <c r="AH81" s="56" t="s">
        <v>1490</v>
      </c>
      <c r="AI81" s="56" t="s">
        <v>1490</v>
      </c>
      <c r="AJ81" s="56" t="s">
        <v>1490</v>
      </c>
      <c r="AK81" s="56" t="s">
        <v>1490</v>
      </c>
    </row>
    <row r="82" spans="1:37" s="56" customFormat="1" ht="30" customHeight="1" x14ac:dyDescent="0.25">
      <c r="A82" s="56">
        <v>81</v>
      </c>
      <c r="B82" s="57" t="s">
        <v>112</v>
      </c>
      <c r="C82" s="57" t="s">
        <v>403</v>
      </c>
      <c r="H82" s="58"/>
      <c r="I82" s="59"/>
      <c r="J82" s="56" t="e">
        <f>VLOOKUP(Table1[[#This Row],[Project Code]],'[6]Combined Nov''25'!$E:$O,10,FALSE)</f>
        <v>#N/A</v>
      </c>
      <c r="K82" s="69" t="e">
        <f>VLOOKUP(Table1[[#This Row],[Project Code]],'[6]Combined Nov''25'!$E:$K,6,FALSE)</f>
        <v>#N/A</v>
      </c>
      <c r="L82" s="57" t="s">
        <v>802</v>
      </c>
      <c r="M82" s="56" t="s">
        <v>843</v>
      </c>
      <c r="N82" s="73" t="e">
        <f>VLOOKUP(Table1[[#This Row],[Project Code]],'[6]Combined Nov''25'!$E:$K,7,FALSE)</f>
        <v>#N/A</v>
      </c>
      <c r="O82" s="57" t="s">
        <v>858</v>
      </c>
      <c r="P82" s="56" t="s">
        <v>864</v>
      </c>
      <c r="Q82" s="57" t="s">
        <v>887</v>
      </c>
      <c r="T82" s="57" t="e">
        <f>VLOOKUP(Table1[[#This Row],[Project Code]],'[6]Combined Nov''25'!$E:$P,12,FALSE)</f>
        <v>#N/A</v>
      </c>
      <c r="U82" s="57" t="e">
        <v>#N/A</v>
      </c>
      <c r="V82" s="56" t="e">
        <v>#N/A</v>
      </c>
      <c r="W82" s="60" t="e">
        <v>#N/A</v>
      </c>
      <c r="X82" s="56" t="s">
        <v>1489</v>
      </c>
      <c r="Y82" s="56" t="s">
        <v>1489</v>
      </c>
      <c r="Z82" s="56" t="s">
        <v>1490</v>
      </c>
      <c r="AA82" s="56" t="s">
        <v>1490</v>
      </c>
      <c r="AB82" s="56" t="s">
        <v>1490</v>
      </c>
      <c r="AC82" s="56" t="s">
        <v>1490</v>
      </c>
      <c r="AD82" s="56" t="s">
        <v>1490</v>
      </c>
      <c r="AE82" s="56" t="s">
        <v>1490</v>
      </c>
      <c r="AF82" s="56" t="s">
        <v>1490</v>
      </c>
      <c r="AG82" s="56" t="s">
        <v>1490</v>
      </c>
      <c r="AH82" s="56" t="s">
        <v>1490</v>
      </c>
      <c r="AI82" s="56" t="s">
        <v>1490</v>
      </c>
      <c r="AJ82" s="56" t="s">
        <v>1490</v>
      </c>
      <c r="AK82" s="56" t="s">
        <v>1490</v>
      </c>
    </row>
    <row r="83" spans="1:37" s="56" customFormat="1" ht="30" customHeight="1" x14ac:dyDescent="0.25">
      <c r="A83" s="56">
        <v>82</v>
      </c>
      <c r="B83" s="57" t="s">
        <v>113</v>
      </c>
      <c r="C83" s="57" t="s">
        <v>404</v>
      </c>
      <c r="H83" s="58"/>
      <c r="I83" s="59"/>
      <c r="J83" s="56" t="e">
        <f>VLOOKUP(Table1[[#This Row],[Project Code]],'[6]Combined Nov''25'!$E:$O,10,FALSE)</f>
        <v>#N/A</v>
      </c>
      <c r="K83" s="69" t="e">
        <f>VLOOKUP(Table1[[#This Row],[Project Code]],'[6]Combined Nov''25'!$E:$K,6,FALSE)</f>
        <v>#N/A</v>
      </c>
      <c r="L83" s="57" t="s">
        <v>802</v>
      </c>
      <c r="M83" s="56" t="s">
        <v>843</v>
      </c>
      <c r="N83" s="73" t="e">
        <f>VLOOKUP(Table1[[#This Row],[Project Code]],'[6]Combined Nov''25'!$E:$K,7,FALSE)</f>
        <v>#N/A</v>
      </c>
      <c r="O83" s="57" t="s">
        <v>857</v>
      </c>
      <c r="P83" s="56" t="s">
        <v>864</v>
      </c>
      <c r="Q83" s="57" t="s">
        <v>887</v>
      </c>
      <c r="T83" s="57" t="e">
        <f>VLOOKUP(Table1[[#This Row],[Project Code]],'[6]Combined Nov''25'!$E:$P,12,FALSE)</f>
        <v>#N/A</v>
      </c>
      <c r="U83" s="57" t="e">
        <v>#N/A</v>
      </c>
      <c r="V83" s="56" t="e">
        <v>#N/A</v>
      </c>
      <c r="W83" s="60" t="e">
        <v>#N/A</v>
      </c>
      <c r="X83" s="56" t="s">
        <v>1489</v>
      </c>
      <c r="Y83" s="56" t="s">
        <v>1491</v>
      </c>
      <c r="Z83" s="56" t="s">
        <v>1490</v>
      </c>
      <c r="AA83" s="56" t="s">
        <v>1490</v>
      </c>
      <c r="AB83" s="56" t="s">
        <v>1490</v>
      </c>
      <c r="AC83" s="56" t="s">
        <v>1490</v>
      </c>
      <c r="AD83" s="56" t="s">
        <v>1490</v>
      </c>
      <c r="AE83" s="56" t="s">
        <v>1490</v>
      </c>
      <c r="AF83" s="56" t="s">
        <v>1490</v>
      </c>
      <c r="AG83" s="56" t="s">
        <v>1490</v>
      </c>
      <c r="AH83" s="56" t="s">
        <v>1490</v>
      </c>
      <c r="AI83" s="56" t="s">
        <v>1490</v>
      </c>
      <c r="AJ83" s="56" t="s">
        <v>1490</v>
      </c>
      <c r="AK83" s="56" t="s">
        <v>1490</v>
      </c>
    </row>
    <row r="84" spans="1:37" s="56" customFormat="1" ht="30" customHeight="1" x14ac:dyDescent="0.25">
      <c r="A84" s="56">
        <v>83</v>
      </c>
      <c r="B84" s="57" t="s">
        <v>114</v>
      </c>
      <c r="C84" s="57" t="s">
        <v>405</v>
      </c>
      <c r="D84" s="56" t="s">
        <v>619</v>
      </c>
      <c r="E84" s="56" t="s">
        <v>629</v>
      </c>
      <c r="G84" s="56" t="s">
        <v>1492</v>
      </c>
      <c r="H84" s="58">
        <f>VLOOKUP(Table1[[#This Row],[Project Code]],'[2]Combined '!$E:$N,8,FALSE)</f>
        <v>43854</v>
      </c>
      <c r="I84" s="59"/>
      <c r="K84" s="69" t="str">
        <f>VLOOKUP(Table1[[#This Row],[Project Code]],'[6]Combined Nov''25'!$E:$K,6,FALSE)</f>
        <v>LAPL</v>
      </c>
      <c r="L84" s="57" t="s">
        <v>803</v>
      </c>
      <c r="M84" s="56" t="s">
        <v>849</v>
      </c>
      <c r="N84" s="56" t="s">
        <v>895</v>
      </c>
      <c r="O84" s="57" t="s">
        <v>861</v>
      </c>
      <c r="P84" s="56" t="s">
        <v>865</v>
      </c>
      <c r="Q84" s="57" t="s">
        <v>887</v>
      </c>
      <c r="T84" s="57" t="s">
        <v>948</v>
      </c>
      <c r="U84" s="57" t="s">
        <v>1111</v>
      </c>
      <c r="V84" s="56" t="s">
        <v>1057</v>
      </c>
      <c r="W84" s="60">
        <v>0</v>
      </c>
      <c r="X84" s="56" t="s">
        <v>1489</v>
      </c>
      <c r="Y84" s="56" t="s">
        <v>1489</v>
      </c>
      <c r="Z84" s="56" t="s">
        <v>1490</v>
      </c>
      <c r="AA84" s="56" t="s">
        <v>1490</v>
      </c>
      <c r="AB84" s="56" t="s">
        <v>1490</v>
      </c>
      <c r="AC84" s="56" t="s">
        <v>1490</v>
      </c>
      <c r="AD84" s="56" t="s">
        <v>1490</v>
      </c>
      <c r="AE84" s="56" t="s">
        <v>1490</v>
      </c>
      <c r="AF84" s="56" t="s">
        <v>1490</v>
      </c>
      <c r="AG84" s="56" t="s">
        <v>1490</v>
      </c>
      <c r="AH84" s="56" t="s">
        <v>1490</v>
      </c>
      <c r="AI84" s="56" t="s">
        <v>1490</v>
      </c>
      <c r="AJ84" s="56" t="s">
        <v>1490</v>
      </c>
      <c r="AK84" s="56" t="s">
        <v>1490</v>
      </c>
    </row>
    <row r="85" spans="1:37" s="56" customFormat="1" ht="30" customHeight="1" x14ac:dyDescent="0.25">
      <c r="A85" s="56">
        <v>84</v>
      </c>
      <c r="B85" s="57" t="s">
        <v>115</v>
      </c>
      <c r="C85" s="57" t="s">
        <v>406</v>
      </c>
      <c r="H85" s="58"/>
      <c r="I85" s="59"/>
      <c r="J85" s="56" t="e">
        <f>VLOOKUP(Table1[[#This Row],[Project Code]],'[6]Combined Nov''25'!$E:$O,10,FALSE)</f>
        <v>#N/A</v>
      </c>
      <c r="K85" s="69" t="e">
        <f>VLOOKUP(Table1[[#This Row],[Project Code]],'[6]Combined Nov''25'!$E:$K,6,FALSE)</f>
        <v>#N/A</v>
      </c>
      <c r="L85" s="57" t="s">
        <v>696</v>
      </c>
      <c r="M85" s="56" t="s">
        <v>843</v>
      </c>
      <c r="N85" s="73" t="e">
        <f>VLOOKUP(Table1[[#This Row],[Project Code]],'[6]Combined Nov''25'!$E:$K,7,FALSE)</f>
        <v>#N/A</v>
      </c>
      <c r="O85" s="57" t="s">
        <v>859</v>
      </c>
      <c r="P85" s="56" t="s">
        <v>864</v>
      </c>
      <c r="Q85" s="57" t="s">
        <v>886</v>
      </c>
      <c r="T85" s="57" t="e">
        <f>VLOOKUP(Table1[[#This Row],[Project Code]],'[6]Combined Nov''25'!$E:$P,12,FALSE)</f>
        <v>#N/A</v>
      </c>
      <c r="U85" s="57" t="e">
        <v>#N/A</v>
      </c>
      <c r="V85" s="56" t="e">
        <v>#N/A</v>
      </c>
      <c r="W85" s="60" t="e">
        <v>#N/A</v>
      </c>
      <c r="X85" s="56" t="s">
        <v>1489</v>
      </c>
      <c r="Y85" s="56" t="s">
        <v>1491</v>
      </c>
      <c r="Z85" s="56" t="s">
        <v>1490</v>
      </c>
      <c r="AA85" s="56" t="s">
        <v>1490</v>
      </c>
      <c r="AB85" s="56" t="s">
        <v>1490</v>
      </c>
      <c r="AC85" s="56" t="s">
        <v>1490</v>
      </c>
      <c r="AD85" s="56" t="s">
        <v>1490</v>
      </c>
      <c r="AE85" s="56" t="s">
        <v>1490</v>
      </c>
      <c r="AF85" s="56" t="s">
        <v>1490</v>
      </c>
      <c r="AG85" s="56" t="s">
        <v>1490</v>
      </c>
      <c r="AH85" s="56" t="s">
        <v>1490</v>
      </c>
      <c r="AI85" s="56" t="s">
        <v>1490</v>
      </c>
      <c r="AJ85" s="56" t="s">
        <v>1490</v>
      </c>
      <c r="AK85" s="56" t="s">
        <v>1490</v>
      </c>
    </row>
    <row r="86" spans="1:37" s="56" customFormat="1" ht="30" customHeight="1" x14ac:dyDescent="0.25">
      <c r="A86" s="56">
        <v>85</v>
      </c>
      <c r="B86" s="57" t="s">
        <v>116</v>
      </c>
      <c r="C86" s="57" t="s">
        <v>407</v>
      </c>
      <c r="H86" s="58"/>
      <c r="I86" s="59"/>
      <c r="J86" s="56" t="e">
        <f>VLOOKUP(Table1[[#This Row],[Project Code]],'[6]Combined Nov''25'!$E:$O,10,FALSE)</f>
        <v>#N/A</v>
      </c>
      <c r="K86" s="69" t="e">
        <f>VLOOKUP(Table1[[#This Row],[Project Code]],'[6]Combined Nov''25'!$E:$K,6,FALSE)</f>
        <v>#N/A</v>
      </c>
      <c r="L86" s="57" t="s">
        <v>696</v>
      </c>
      <c r="M86" s="56" t="s">
        <v>843</v>
      </c>
      <c r="N86" s="73" t="e">
        <f>VLOOKUP(Table1[[#This Row],[Project Code]],'[6]Combined Nov''25'!$E:$K,7,FALSE)</f>
        <v>#N/A</v>
      </c>
      <c r="O86" s="57" t="s">
        <v>863</v>
      </c>
      <c r="P86" s="56" t="s">
        <v>864</v>
      </c>
      <c r="Q86" s="57" t="s">
        <v>886</v>
      </c>
      <c r="T86" s="57" t="e">
        <f>VLOOKUP(Table1[[#This Row],[Project Code]],'[6]Combined Nov''25'!$E:$P,12,FALSE)</f>
        <v>#N/A</v>
      </c>
      <c r="U86" s="57" t="e">
        <v>#N/A</v>
      </c>
      <c r="V86" s="56" t="e">
        <v>#N/A</v>
      </c>
      <c r="W86" s="60" t="e">
        <v>#N/A</v>
      </c>
      <c r="X86" s="56" t="s">
        <v>1489</v>
      </c>
      <c r="Y86" s="56" t="s">
        <v>1489</v>
      </c>
      <c r="Z86" s="56" t="s">
        <v>1490</v>
      </c>
      <c r="AA86" s="56" t="s">
        <v>1490</v>
      </c>
      <c r="AB86" s="56" t="s">
        <v>1490</v>
      </c>
      <c r="AC86" s="56" t="s">
        <v>1490</v>
      </c>
      <c r="AD86" s="56" t="s">
        <v>1490</v>
      </c>
      <c r="AE86" s="56" t="s">
        <v>1490</v>
      </c>
      <c r="AF86" s="56" t="s">
        <v>1490</v>
      </c>
      <c r="AG86" s="56" t="s">
        <v>1490</v>
      </c>
      <c r="AH86" s="56" t="s">
        <v>1490</v>
      </c>
      <c r="AI86" s="56" t="s">
        <v>1490</v>
      </c>
      <c r="AJ86" s="56" t="s">
        <v>1490</v>
      </c>
      <c r="AK86" s="56" t="s">
        <v>1490</v>
      </c>
    </row>
    <row r="87" spans="1:37" s="56" customFormat="1" ht="30" customHeight="1" x14ac:dyDescent="0.25">
      <c r="A87" s="56">
        <v>86</v>
      </c>
      <c r="B87" s="57" t="s">
        <v>117</v>
      </c>
      <c r="C87" s="57" t="s">
        <v>408</v>
      </c>
      <c r="D87" s="56" t="s">
        <v>620</v>
      </c>
      <c r="E87" s="56" t="s">
        <v>634</v>
      </c>
      <c r="G87" s="56" t="str">
        <f>VLOOKUP(Table1[[#This Row],[Project Code]],[1]Combined!$E:$I,5,FALSE)</f>
        <v>Ongoing</v>
      </c>
      <c r="H87" s="58">
        <f>VLOOKUP(Table1[[#This Row],[Project Code]],'[2]Combined '!$E:$N,8,FALSE)</f>
        <v>43739</v>
      </c>
      <c r="I87" s="59"/>
      <c r="J87" s="59">
        <f>VLOOKUP(Table1[[#This Row],[Project Code]],'[6]Combined Nov''25'!$E:$O,10,FALSE)</f>
        <v>46721</v>
      </c>
      <c r="K87" s="69" t="str">
        <f>VLOOKUP(Table1[[#This Row],[Project Code]],'[6]Combined Nov''25'!$E:$K,6,FALSE)</f>
        <v>Ministry of Finance</v>
      </c>
      <c r="L87" s="69" t="s">
        <v>796</v>
      </c>
      <c r="M87" s="73" t="s">
        <v>843</v>
      </c>
      <c r="N87" s="73">
        <f>VLOOKUP(Table1[[#This Row],[Project Code]],'[6]Combined Nov''25'!$E:$K,7,FALSE)</f>
        <v>0</v>
      </c>
      <c r="O87" s="69" t="s">
        <v>856</v>
      </c>
      <c r="P87" s="73" t="s">
        <v>864</v>
      </c>
      <c r="Q87" s="57" t="s">
        <v>886</v>
      </c>
      <c r="T87" s="57">
        <f>VLOOKUP(Table1[[#This Row],[Project Code]],'[6]Combined Nov''25'!$E:$P,12,FALSE)</f>
        <v>0</v>
      </c>
      <c r="U87" s="57">
        <v>0</v>
      </c>
      <c r="V87" s="56" t="s">
        <v>1057</v>
      </c>
      <c r="W87" s="60">
        <v>10886400</v>
      </c>
      <c r="X87" s="56" t="s">
        <v>1489</v>
      </c>
      <c r="Y87" s="56" t="s">
        <v>1489</v>
      </c>
      <c r="Z87" s="56" t="s">
        <v>1490</v>
      </c>
      <c r="AA87" s="56" t="s">
        <v>1490</v>
      </c>
      <c r="AB87" s="56" t="s">
        <v>1490</v>
      </c>
      <c r="AC87" s="56" t="s">
        <v>1490</v>
      </c>
      <c r="AD87" s="56" t="s">
        <v>1490</v>
      </c>
      <c r="AE87" s="56" t="s">
        <v>1490</v>
      </c>
      <c r="AF87" s="56" t="s">
        <v>1490</v>
      </c>
      <c r="AG87" s="56" t="s">
        <v>1490</v>
      </c>
      <c r="AH87" s="56" t="s">
        <v>1490</v>
      </c>
      <c r="AI87" s="56" t="s">
        <v>1490</v>
      </c>
      <c r="AJ87" s="56" t="s">
        <v>1490</v>
      </c>
      <c r="AK87" s="56" t="s">
        <v>1490</v>
      </c>
    </row>
    <row r="88" spans="1:37" s="56" customFormat="1" ht="30" customHeight="1" x14ac:dyDescent="0.25">
      <c r="A88" s="56">
        <v>87</v>
      </c>
      <c r="B88" s="57" t="s">
        <v>118</v>
      </c>
      <c r="C88" s="57" t="s">
        <v>409</v>
      </c>
      <c r="H88" s="58"/>
      <c r="I88" s="59"/>
      <c r="J88" s="59" t="e">
        <f>VLOOKUP(Table1[[#This Row],[Project Code]],'[6]Combined Nov''25'!$E:$O,10,FALSE)</f>
        <v>#N/A</v>
      </c>
      <c r="K88" s="57" t="s">
        <v>686</v>
      </c>
      <c r="L88" s="57" t="s">
        <v>804</v>
      </c>
      <c r="M88" s="56" t="s">
        <v>843</v>
      </c>
      <c r="N88" s="73" t="e">
        <f>VLOOKUP(Table1[[#This Row],[Project Code]],'[6]Combined Nov''25'!$E:$K,7,FALSE)</f>
        <v>#N/A</v>
      </c>
      <c r="O88" s="57" t="s">
        <v>859</v>
      </c>
      <c r="P88" s="56" t="s">
        <v>864</v>
      </c>
      <c r="Q88" s="57" t="s">
        <v>887</v>
      </c>
      <c r="T88" s="57" t="e">
        <f>VLOOKUP(Table1[[#This Row],[Project Code]],'[6]Combined Nov''25'!$E:$P,12,FALSE)</f>
        <v>#N/A</v>
      </c>
      <c r="U88" s="57" t="e">
        <v>#N/A</v>
      </c>
      <c r="V88" s="56" t="e">
        <v>#N/A</v>
      </c>
      <c r="W88" s="60" t="e">
        <v>#N/A</v>
      </c>
      <c r="X88" s="56" t="s">
        <v>1489</v>
      </c>
      <c r="Y88" s="56" t="s">
        <v>1489</v>
      </c>
      <c r="Z88" s="56" t="s">
        <v>1490</v>
      </c>
      <c r="AA88" s="56" t="s">
        <v>1490</v>
      </c>
      <c r="AB88" s="56" t="s">
        <v>1490</v>
      </c>
      <c r="AC88" s="56" t="s">
        <v>1490</v>
      </c>
      <c r="AD88" s="56" t="s">
        <v>1490</v>
      </c>
      <c r="AE88" s="56" t="s">
        <v>1490</v>
      </c>
      <c r="AF88" s="56" t="s">
        <v>1490</v>
      </c>
      <c r="AG88" s="56" t="s">
        <v>1490</v>
      </c>
      <c r="AH88" s="56" t="s">
        <v>1490</v>
      </c>
      <c r="AI88" s="56" t="s">
        <v>1490</v>
      </c>
      <c r="AJ88" s="56" t="s">
        <v>1490</v>
      </c>
      <c r="AK88" s="56" t="s">
        <v>1490</v>
      </c>
    </row>
    <row r="89" spans="1:37" s="56" customFormat="1" ht="30" customHeight="1" x14ac:dyDescent="0.25">
      <c r="A89" s="56">
        <v>88</v>
      </c>
      <c r="B89" s="57" t="s">
        <v>119</v>
      </c>
      <c r="C89" s="57" t="s">
        <v>410</v>
      </c>
      <c r="H89" s="58"/>
      <c r="I89" s="59"/>
      <c r="J89" s="59" t="e">
        <f>VLOOKUP(Table1[[#This Row],[Project Code]],'[6]Combined Nov''25'!$E:$O,10,FALSE)</f>
        <v>#N/A</v>
      </c>
      <c r="K89" s="69" t="e">
        <f>VLOOKUP(Table1[[#This Row],[Project Code]],'[6]Combined Nov''25'!$E:$K,6,FALSE)</f>
        <v>#N/A</v>
      </c>
      <c r="L89" s="57"/>
      <c r="M89" s="56">
        <v>0</v>
      </c>
      <c r="N89" s="73" t="e">
        <f>VLOOKUP(Table1[[#This Row],[Project Code]],'[6]Combined Nov''25'!$E:$K,7,FALSE)</f>
        <v>#N/A</v>
      </c>
      <c r="O89" s="57" t="s">
        <v>856</v>
      </c>
      <c r="P89" s="56" t="s">
        <v>864</v>
      </c>
      <c r="Q89" s="57" t="s">
        <v>886</v>
      </c>
      <c r="T89" s="57" t="e">
        <f>VLOOKUP(Table1[[#This Row],[Project Code]],'[6]Combined Nov''25'!$E:$P,12,FALSE)</f>
        <v>#N/A</v>
      </c>
      <c r="U89" s="57" t="e">
        <v>#N/A</v>
      </c>
      <c r="V89" s="56" t="e">
        <v>#N/A</v>
      </c>
      <c r="W89" s="60" t="e">
        <v>#N/A</v>
      </c>
      <c r="X89" s="56" t="s">
        <v>1489</v>
      </c>
      <c r="Y89" s="56" t="s">
        <v>1489</v>
      </c>
      <c r="Z89" s="56" t="s">
        <v>1490</v>
      </c>
      <c r="AA89" s="56" t="s">
        <v>1490</v>
      </c>
      <c r="AB89" s="56" t="s">
        <v>1490</v>
      </c>
      <c r="AC89" s="56" t="s">
        <v>1490</v>
      </c>
      <c r="AD89" s="56" t="s">
        <v>1490</v>
      </c>
      <c r="AE89" s="56" t="s">
        <v>1490</v>
      </c>
      <c r="AF89" s="56" t="s">
        <v>1490</v>
      </c>
      <c r="AG89" s="56" t="s">
        <v>1490</v>
      </c>
      <c r="AH89" s="56" t="s">
        <v>1490</v>
      </c>
      <c r="AI89" s="56" t="s">
        <v>1490</v>
      </c>
      <c r="AJ89" s="56" t="s">
        <v>1490</v>
      </c>
      <c r="AK89" s="56" t="s">
        <v>1490</v>
      </c>
    </row>
    <row r="90" spans="1:37" s="56" customFormat="1" ht="30" customHeight="1" x14ac:dyDescent="0.25">
      <c r="A90" s="56">
        <v>89</v>
      </c>
      <c r="B90" s="57" t="s">
        <v>120</v>
      </c>
      <c r="C90" s="57" t="s">
        <v>411</v>
      </c>
      <c r="D90" s="56" t="s">
        <v>620</v>
      </c>
      <c r="E90" s="56" t="s">
        <v>635</v>
      </c>
      <c r="G90" s="56" t="str">
        <f>VLOOKUP(Table1[[#This Row],[Project Code]],[1]Combined!$E:$I,5,FALSE)</f>
        <v>Ongoing</v>
      </c>
      <c r="H90" s="58"/>
      <c r="I90" s="59"/>
      <c r="J90" s="59">
        <f>VLOOKUP(Table1[[#This Row],[Project Code]],'[6]Combined Nov''25'!$E:$O,10,FALSE)</f>
        <v>46111</v>
      </c>
      <c r="K90" s="69" t="str">
        <f>VLOOKUP(Table1[[#This Row],[Project Code]],'[6]Combined Nov''25'!$E:$K,6,FALSE)</f>
        <v>MHA</v>
      </c>
      <c r="L90" s="69" t="s">
        <v>789</v>
      </c>
      <c r="M90" s="73" t="s">
        <v>843</v>
      </c>
      <c r="N90" s="73">
        <f>VLOOKUP(Table1[[#This Row],[Project Code]],'[6]Combined Nov''25'!$E:$K,7,FALSE)</f>
        <v>0</v>
      </c>
      <c r="O90" s="69" t="s">
        <v>856</v>
      </c>
      <c r="P90" s="73" t="s">
        <v>864</v>
      </c>
      <c r="Q90" s="57" t="s">
        <v>886</v>
      </c>
      <c r="T90" s="57">
        <f>VLOOKUP(Table1[[#This Row],[Project Code]],'[6]Combined Nov''25'!$E:$P,12,FALSE)</f>
        <v>0</v>
      </c>
      <c r="U90" s="57">
        <v>0</v>
      </c>
      <c r="V90" s="56" t="s">
        <v>1057</v>
      </c>
      <c r="W90" s="60">
        <v>4008430</v>
      </c>
      <c r="X90" s="56" t="s">
        <v>1489</v>
      </c>
      <c r="Y90" s="56" t="s">
        <v>1489</v>
      </c>
      <c r="Z90" s="56" t="s">
        <v>1490</v>
      </c>
      <c r="AA90" s="56" t="s">
        <v>1490</v>
      </c>
      <c r="AB90" s="56" t="s">
        <v>1490</v>
      </c>
      <c r="AC90" s="56" t="s">
        <v>1490</v>
      </c>
      <c r="AD90" s="56" t="s">
        <v>1490</v>
      </c>
      <c r="AE90" s="56" t="s">
        <v>1490</v>
      </c>
      <c r="AF90" s="56" t="s">
        <v>1490</v>
      </c>
      <c r="AG90" s="56" t="s">
        <v>1490</v>
      </c>
      <c r="AH90" s="56" t="s">
        <v>1490</v>
      </c>
      <c r="AI90" s="56" t="s">
        <v>1490</v>
      </c>
      <c r="AJ90" s="56" t="s">
        <v>1490</v>
      </c>
      <c r="AK90" s="56" t="s">
        <v>1490</v>
      </c>
    </row>
    <row r="91" spans="1:37" s="56" customFormat="1" ht="30" customHeight="1" x14ac:dyDescent="0.25">
      <c r="A91" s="56">
        <v>90</v>
      </c>
      <c r="B91" s="57" t="s">
        <v>121</v>
      </c>
      <c r="C91" s="57" t="s">
        <v>412</v>
      </c>
      <c r="H91" s="58"/>
      <c r="I91" s="59"/>
      <c r="J91" s="59" t="e">
        <f>VLOOKUP(Table1[[#This Row],[Project Code]],'[6]Combined Nov''25'!$E:$O,10,FALSE)</f>
        <v>#N/A</v>
      </c>
      <c r="K91" s="69" t="e">
        <f>VLOOKUP(Table1[[#This Row],[Project Code]],'[6]Combined Nov''25'!$E:$K,6,FALSE)</f>
        <v>#N/A</v>
      </c>
      <c r="L91" s="57" t="s">
        <v>785</v>
      </c>
      <c r="M91" s="56" t="s">
        <v>843</v>
      </c>
      <c r="N91" s="73" t="e">
        <f>VLOOKUP(Table1[[#This Row],[Project Code]],'[6]Combined Nov''25'!$E:$K,7,FALSE)</f>
        <v>#N/A</v>
      </c>
      <c r="O91" s="57" t="s">
        <v>862</v>
      </c>
      <c r="P91" s="56" t="s">
        <v>864</v>
      </c>
      <c r="Q91" s="57" t="s">
        <v>888</v>
      </c>
      <c r="T91" s="57" t="e">
        <f>VLOOKUP(Table1[[#This Row],[Project Code]],'[6]Combined Nov''25'!$E:$P,12,FALSE)</f>
        <v>#N/A</v>
      </c>
      <c r="U91" s="57" t="e">
        <v>#N/A</v>
      </c>
      <c r="V91" s="56" t="e">
        <v>#N/A</v>
      </c>
      <c r="W91" s="60" t="e">
        <v>#N/A</v>
      </c>
      <c r="X91" s="56" t="s">
        <v>1489</v>
      </c>
      <c r="Y91" s="56" t="s">
        <v>1489</v>
      </c>
      <c r="Z91" s="56" t="s">
        <v>1490</v>
      </c>
      <c r="AA91" s="56" t="s">
        <v>1490</v>
      </c>
      <c r="AB91" s="56" t="s">
        <v>1490</v>
      </c>
      <c r="AC91" s="56" t="s">
        <v>1490</v>
      </c>
      <c r="AD91" s="56" t="s">
        <v>1490</v>
      </c>
      <c r="AE91" s="56" t="s">
        <v>1490</v>
      </c>
      <c r="AF91" s="56" t="s">
        <v>1490</v>
      </c>
      <c r="AG91" s="56" t="s">
        <v>1490</v>
      </c>
      <c r="AH91" s="56" t="s">
        <v>1490</v>
      </c>
      <c r="AI91" s="56" t="s">
        <v>1490</v>
      </c>
      <c r="AJ91" s="56" t="s">
        <v>1490</v>
      </c>
      <c r="AK91" s="56" t="s">
        <v>1490</v>
      </c>
    </row>
    <row r="92" spans="1:37" s="56" customFormat="1" ht="30" customHeight="1" x14ac:dyDescent="0.25">
      <c r="A92" s="56">
        <v>91</v>
      </c>
      <c r="B92" s="57" t="s">
        <v>122</v>
      </c>
      <c r="C92" s="57" t="s">
        <v>413</v>
      </c>
      <c r="H92" s="58"/>
      <c r="I92" s="59"/>
      <c r="J92" s="59" t="e">
        <f>VLOOKUP(Table1[[#This Row],[Project Code]],'[6]Combined Nov''25'!$E:$O,10,FALSE)</f>
        <v>#N/A</v>
      </c>
      <c r="K92" s="69" t="e">
        <f>VLOOKUP(Table1[[#This Row],[Project Code]],'[6]Combined Nov''25'!$E:$K,6,FALSE)</f>
        <v>#N/A</v>
      </c>
      <c r="L92" s="57" t="s">
        <v>805</v>
      </c>
      <c r="M92" s="56" t="s">
        <v>843</v>
      </c>
      <c r="N92" s="73" t="e">
        <f>VLOOKUP(Table1[[#This Row],[Project Code]],'[6]Combined Nov''25'!$E:$K,7,FALSE)</f>
        <v>#N/A</v>
      </c>
      <c r="O92" s="57" t="s">
        <v>863</v>
      </c>
      <c r="P92" s="56" t="s">
        <v>864</v>
      </c>
      <c r="Q92" s="57" t="s">
        <v>886</v>
      </c>
      <c r="T92" s="57" t="e">
        <f>VLOOKUP(Table1[[#This Row],[Project Code]],'[6]Combined Nov''25'!$E:$P,12,FALSE)</f>
        <v>#N/A</v>
      </c>
      <c r="U92" s="57" t="e">
        <v>#N/A</v>
      </c>
      <c r="V92" s="56" t="e">
        <v>#N/A</v>
      </c>
      <c r="W92" s="60" t="e">
        <v>#N/A</v>
      </c>
      <c r="X92" s="56" t="s">
        <v>1489</v>
      </c>
      <c r="Y92" s="56" t="s">
        <v>1491</v>
      </c>
      <c r="Z92" s="56" t="s">
        <v>1490</v>
      </c>
      <c r="AA92" s="56" t="s">
        <v>1490</v>
      </c>
      <c r="AB92" s="56" t="s">
        <v>1490</v>
      </c>
      <c r="AC92" s="56" t="s">
        <v>1490</v>
      </c>
      <c r="AD92" s="56" t="s">
        <v>1490</v>
      </c>
      <c r="AE92" s="56" t="s">
        <v>1490</v>
      </c>
      <c r="AF92" s="56" t="s">
        <v>1490</v>
      </c>
      <c r="AG92" s="56" t="s">
        <v>1490</v>
      </c>
      <c r="AH92" s="56" t="s">
        <v>1490</v>
      </c>
      <c r="AI92" s="56" t="s">
        <v>1490</v>
      </c>
      <c r="AJ92" s="56" t="s">
        <v>1490</v>
      </c>
      <c r="AK92" s="56" t="s">
        <v>1490</v>
      </c>
    </row>
    <row r="93" spans="1:37" s="56" customFormat="1" ht="30" customHeight="1" x14ac:dyDescent="0.25">
      <c r="A93" s="56">
        <v>92</v>
      </c>
      <c r="B93" s="57" t="s">
        <v>123</v>
      </c>
      <c r="C93" s="57" t="s">
        <v>414</v>
      </c>
      <c r="H93" s="58"/>
      <c r="I93" s="59"/>
      <c r="J93" s="59" t="e">
        <f>VLOOKUP(Table1[[#This Row],[Project Code]],'[6]Combined Nov''25'!$E:$O,10,FALSE)</f>
        <v>#N/A</v>
      </c>
      <c r="K93" s="57" t="s">
        <v>687</v>
      </c>
      <c r="L93" s="57" t="s">
        <v>806</v>
      </c>
      <c r="M93" s="56" t="s">
        <v>843</v>
      </c>
      <c r="N93" s="73" t="e">
        <f>VLOOKUP(Table1[[#This Row],[Project Code]],'[6]Combined Nov''25'!$E:$K,7,FALSE)</f>
        <v>#N/A</v>
      </c>
      <c r="O93" s="57" t="s">
        <v>863</v>
      </c>
      <c r="P93" s="56" t="s">
        <v>864</v>
      </c>
      <c r="Q93" s="57" t="s">
        <v>887</v>
      </c>
      <c r="T93" s="57" t="e">
        <f>VLOOKUP(Table1[[#This Row],[Project Code]],'[6]Combined Nov''25'!$E:$P,12,FALSE)</f>
        <v>#N/A</v>
      </c>
      <c r="U93" s="57" t="e">
        <v>#N/A</v>
      </c>
      <c r="V93" s="56" t="e">
        <v>#N/A</v>
      </c>
      <c r="W93" s="60" t="e">
        <v>#N/A</v>
      </c>
      <c r="X93" s="56" t="s">
        <v>1489</v>
      </c>
      <c r="Y93" s="56" t="s">
        <v>1489</v>
      </c>
      <c r="Z93" s="56" t="s">
        <v>1490</v>
      </c>
      <c r="AA93" s="56" t="s">
        <v>1490</v>
      </c>
      <c r="AB93" s="56" t="s">
        <v>1490</v>
      </c>
      <c r="AC93" s="56" t="s">
        <v>1490</v>
      </c>
      <c r="AD93" s="56" t="s">
        <v>1490</v>
      </c>
      <c r="AE93" s="56" t="s">
        <v>1490</v>
      </c>
      <c r="AF93" s="56" t="s">
        <v>1490</v>
      </c>
      <c r="AG93" s="56" t="s">
        <v>1490</v>
      </c>
      <c r="AH93" s="56" t="s">
        <v>1490</v>
      </c>
      <c r="AI93" s="56" t="s">
        <v>1490</v>
      </c>
      <c r="AJ93" s="56" t="s">
        <v>1490</v>
      </c>
      <c r="AK93" s="56" t="s">
        <v>1490</v>
      </c>
    </row>
    <row r="94" spans="1:37" s="56" customFormat="1" ht="30" customHeight="1" x14ac:dyDescent="0.25">
      <c r="A94" s="56">
        <v>93</v>
      </c>
      <c r="B94" s="57" t="s">
        <v>124</v>
      </c>
      <c r="C94" s="57" t="s">
        <v>415</v>
      </c>
      <c r="H94" s="58"/>
      <c r="I94" s="59"/>
      <c r="J94" s="59" t="e">
        <f>VLOOKUP(Table1[[#This Row],[Project Code]],'[6]Combined Nov''25'!$E:$O,10,FALSE)</f>
        <v>#N/A</v>
      </c>
      <c r="K94" s="57" t="s">
        <v>688</v>
      </c>
      <c r="L94" s="57" t="s">
        <v>766</v>
      </c>
      <c r="M94" s="56" t="s">
        <v>843</v>
      </c>
      <c r="N94" s="73" t="e">
        <f>VLOOKUP(Table1[[#This Row],[Project Code]],'[6]Combined Nov''25'!$E:$K,7,FALSE)</f>
        <v>#N/A</v>
      </c>
      <c r="O94" s="57" t="s">
        <v>857</v>
      </c>
      <c r="P94" s="56" t="s">
        <v>864</v>
      </c>
      <c r="Q94" s="57" t="s">
        <v>887</v>
      </c>
      <c r="T94" s="57" t="e">
        <f>VLOOKUP(Table1[[#This Row],[Project Code]],'[6]Combined Nov''25'!$E:$P,12,FALSE)</f>
        <v>#N/A</v>
      </c>
      <c r="U94" s="57" t="e">
        <v>#N/A</v>
      </c>
      <c r="V94" s="56" t="e">
        <v>#N/A</v>
      </c>
      <c r="W94" s="60" t="e">
        <v>#N/A</v>
      </c>
      <c r="X94" s="56" t="s">
        <v>1489</v>
      </c>
      <c r="Y94" s="56" t="s">
        <v>1489</v>
      </c>
      <c r="Z94" s="56" t="s">
        <v>1490</v>
      </c>
      <c r="AA94" s="56" t="s">
        <v>1490</v>
      </c>
      <c r="AB94" s="56" t="s">
        <v>1490</v>
      </c>
      <c r="AC94" s="56" t="s">
        <v>1490</v>
      </c>
      <c r="AD94" s="56" t="s">
        <v>1490</v>
      </c>
      <c r="AE94" s="56" t="s">
        <v>1490</v>
      </c>
      <c r="AF94" s="56" t="s">
        <v>1490</v>
      </c>
      <c r="AG94" s="56" t="s">
        <v>1490</v>
      </c>
      <c r="AH94" s="56" t="s">
        <v>1490</v>
      </c>
      <c r="AI94" s="56" t="s">
        <v>1490</v>
      </c>
      <c r="AJ94" s="56" t="s">
        <v>1490</v>
      </c>
      <c r="AK94" s="56" t="s">
        <v>1490</v>
      </c>
    </row>
    <row r="95" spans="1:37" s="56" customFormat="1" ht="30" customHeight="1" x14ac:dyDescent="0.25">
      <c r="A95" s="56">
        <v>94</v>
      </c>
      <c r="B95" s="57" t="s">
        <v>125</v>
      </c>
      <c r="C95" s="57" t="s">
        <v>416</v>
      </c>
      <c r="H95" s="58"/>
      <c r="I95" s="59"/>
      <c r="J95" s="59" t="e">
        <f>VLOOKUP(Table1[[#This Row],[Project Code]],'[6]Combined Nov''25'!$E:$O,10,FALSE)</f>
        <v>#N/A</v>
      </c>
      <c r="K95" s="69" t="e">
        <f>VLOOKUP(Table1[[#This Row],[Project Code]],'[6]Combined Nov''25'!$E:$K,6,FALSE)</f>
        <v>#N/A</v>
      </c>
      <c r="L95" s="57" t="s">
        <v>691</v>
      </c>
      <c r="M95" s="56" t="s">
        <v>843</v>
      </c>
      <c r="N95" s="73" t="e">
        <f>VLOOKUP(Table1[[#This Row],[Project Code]],'[6]Combined Nov''25'!$E:$K,7,FALSE)</f>
        <v>#N/A</v>
      </c>
      <c r="O95" s="57" t="s">
        <v>863</v>
      </c>
      <c r="P95" s="56" t="s">
        <v>864</v>
      </c>
      <c r="Q95" s="57" t="s">
        <v>886</v>
      </c>
      <c r="T95" s="57" t="e">
        <f>VLOOKUP(Table1[[#This Row],[Project Code]],'[6]Combined Nov''25'!$E:$P,12,FALSE)</f>
        <v>#N/A</v>
      </c>
      <c r="U95" s="57" t="e">
        <v>#N/A</v>
      </c>
      <c r="V95" s="56" t="e">
        <v>#N/A</v>
      </c>
      <c r="W95" s="60" t="e">
        <v>#N/A</v>
      </c>
      <c r="X95" s="56" t="s">
        <v>1489</v>
      </c>
      <c r="Y95" s="56" t="s">
        <v>1489</v>
      </c>
      <c r="Z95" s="56" t="s">
        <v>1490</v>
      </c>
      <c r="AA95" s="56" t="s">
        <v>1490</v>
      </c>
      <c r="AB95" s="56" t="s">
        <v>1490</v>
      </c>
      <c r="AC95" s="56" t="s">
        <v>1490</v>
      </c>
      <c r="AD95" s="56" t="s">
        <v>1490</v>
      </c>
      <c r="AE95" s="56" t="s">
        <v>1490</v>
      </c>
      <c r="AF95" s="56" t="s">
        <v>1490</v>
      </c>
      <c r="AG95" s="56" t="s">
        <v>1490</v>
      </c>
      <c r="AH95" s="56" t="s">
        <v>1490</v>
      </c>
      <c r="AI95" s="56" t="s">
        <v>1490</v>
      </c>
      <c r="AJ95" s="56" t="s">
        <v>1490</v>
      </c>
      <c r="AK95" s="56" t="s">
        <v>1490</v>
      </c>
    </row>
    <row r="96" spans="1:37" s="56" customFormat="1" ht="30" customHeight="1" x14ac:dyDescent="0.25">
      <c r="A96" s="56">
        <v>95</v>
      </c>
      <c r="B96" s="57" t="s">
        <v>126</v>
      </c>
      <c r="C96" s="57" t="s">
        <v>417</v>
      </c>
      <c r="H96" s="58"/>
      <c r="I96" s="59"/>
      <c r="J96" s="59" t="e">
        <f>VLOOKUP(Table1[[#This Row],[Project Code]],'[6]Combined Nov''25'!$E:$O,10,FALSE)</f>
        <v>#N/A</v>
      </c>
      <c r="K96" s="69" t="e">
        <f>VLOOKUP(Table1[[#This Row],[Project Code]],'[6]Combined Nov''25'!$E:$K,6,FALSE)</f>
        <v>#N/A</v>
      </c>
      <c r="L96" s="57" t="s">
        <v>778</v>
      </c>
      <c r="M96" s="56" t="s">
        <v>843</v>
      </c>
      <c r="N96" s="73" t="e">
        <f>VLOOKUP(Table1[[#This Row],[Project Code]],'[6]Combined Nov''25'!$E:$K,7,FALSE)</f>
        <v>#N/A</v>
      </c>
      <c r="O96" s="57" t="s">
        <v>857</v>
      </c>
      <c r="P96" s="56" t="s">
        <v>864</v>
      </c>
      <c r="Q96" s="57" t="s">
        <v>886</v>
      </c>
      <c r="T96" s="57" t="e">
        <f>VLOOKUP(Table1[[#This Row],[Project Code]],'[6]Combined Nov''25'!$E:$P,12,FALSE)</f>
        <v>#N/A</v>
      </c>
      <c r="U96" s="57" t="e">
        <v>#N/A</v>
      </c>
      <c r="V96" s="56" t="e">
        <v>#N/A</v>
      </c>
      <c r="W96" s="60" t="e">
        <v>#N/A</v>
      </c>
      <c r="X96" s="56" t="s">
        <v>1489</v>
      </c>
      <c r="Y96" s="56" t="s">
        <v>1489</v>
      </c>
      <c r="Z96" s="56" t="s">
        <v>1490</v>
      </c>
      <c r="AA96" s="56" t="s">
        <v>1490</v>
      </c>
      <c r="AB96" s="56" t="s">
        <v>1490</v>
      </c>
      <c r="AC96" s="56" t="s">
        <v>1490</v>
      </c>
      <c r="AD96" s="56" t="s">
        <v>1490</v>
      </c>
      <c r="AE96" s="56" t="s">
        <v>1490</v>
      </c>
      <c r="AF96" s="56" t="s">
        <v>1490</v>
      </c>
      <c r="AG96" s="56" t="s">
        <v>1490</v>
      </c>
      <c r="AH96" s="56" t="s">
        <v>1490</v>
      </c>
      <c r="AI96" s="56" t="s">
        <v>1490</v>
      </c>
      <c r="AJ96" s="56" t="s">
        <v>1490</v>
      </c>
      <c r="AK96" s="56" t="s">
        <v>1490</v>
      </c>
    </row>
    <row r="97" spans="1:37" s="56" customFormat="1" ht="30" customHeight="1" x14ac:dyDescent="0.25">
      <c r="A97" s="56">
        <v>96</v>
      </c>
      <c r="B97" s="57" t="s">
        <v>127</v>
      </c>
      <c r="C97" s="57" t="s">
        <v>418</v>
      </c>
      <c r="H97" s="58"/>
      <c r="I97" s="59"/>
      <c r="J97" s="59" t="e">
        <f>VLOOKUP(Table1[[#This Row],[Project Code]],'[6]Combined Nov''25'!$E:$O,10,FALSE)</f>
        <v>#N/A</v>
      </c>
      <c r="K97" s="69" t="e">
        <f>VLOOKUP(Table1[[#This Row],[Project Code]],'[6]Combined Nov''25'!$E:$K,6,FALSE)</f>
        <v>#N/A</v>
      </c>
      <c r="L97" s="57" t="s">
        <v>784</v>
      </c>
      <c r="M97" s="56" t="s">
        <v>843</v>
      </c>
      <c r="N97" s="73" t="e">
        <f>VLOOKUP(Table1[[#This Row],[Project Code]],'[6]Combined Nov''25'!$E:$K,7,FALSE)</f>
        <v>#N/A</v>
      </c>
      <c r="O97" s="57" t="s">
        <v>863</v>
      </c>
      <c r="P97" s="56" t="s">
        <v>864</v>
      </c>
      <c r="Q97" s="57" t="s">
        <v>886</v>
      </c>
      <c r="T97" s="57" t="e">
        <f>VLOOKUP(Table1[[#This Row],[Project Code]],'[6]Combined Nov''25'!$E:$P,12,FALSE)</f>
        <v>#N/A</v>
      </c>
      <c r="U97" s="57" t="e">
        <v>#N/A</v>
      </c>
      <c r="V97" s="56" t="e">
        <v>#N/A</v>
      </c>
      <c r="W97" s="60" t="e">
        <v>#N/A</v>
      </c>
      <c r="X97" s="56" t="s">
        <v>1489</v>
      </c>
      <c r="Y97" s="56" t="s">
        <v>1491</v>
      </c>
      <c r="Z97" s="56" t="s">
        <v>1490</v>
      </c>
      <c r="AA97" s="56" t="s">
        <v>1490</v>
      </c>
      <c r="AB97" s="56" t="s">
        <v>1490</v>
      </c>
      <c r="AC97" s="56" t="s">
        <v>1490</v>
      </c>
      <c r="AD97" s="56" t="s">
        <v>1490</v>
      </c>
      <c r="AE97" s="56" t="s">
        <v>1490</v>
      </c>
      <c r="AF97" s="56" t="s">
        <v>1490</v>
      </c>
      <c r="AG97" s="56" t="s">
        <v>1490</v>
      </c>
      <c r="AH97" s="56" t="s">
        <v>1490</v>
      </c>
      <c r="AI97" s="56" t="s">
        <v>1490</v>
      </c>
      <c r="AJ97" s="56" t="s">
        <v>1490</v>
      </c>
      <c r="AK97" s="56" t="s">
        <v>1490</v>
      </c>
    </row>
    <row r="98" spans="1:37" s="56" customFormat="1" ht="30" customHeight="1" x14ac:dyDescent="0.25">
      <c r="A98" s="56">
        <v>97</v>
      </c>
      <c r="B98" s="57" t="s">
        <v>128</v>
      </c>
      <c r="C98" s="57" t="s">
        <v>419</v>
      </c>
      <c r="H98" s="58"/>
      <c r="I98" s="59"/>
      <c r="J98" s="59" t="e">
        <f>VLOOKUP(Table1[[#This Row],[Project Code]],'[6]Combined Nov''25'!$E:$O,10,FALSE)</f>
        <v>#N/A</v>
      </c>
      <c r="K98" s="57" t="s">
        <v>681</v>
      </c>
      <c r="L98" s="57"/>
      <c r="M98" s="56" t="s">
        <v>843</v>
      </c>
      <c r="N98" s="73" t="e">
        <f>VLOOKUP(Table1[[#This Row],[Project Code]],'[6]Combined Nov''25'!$E:$K,7,FALSE)</f>
        <v>#N/A</v>
      </c>
      <c r="O98" s="57" t="s">
        <v>855</v>
      </c>
      <c r="P98" s="56" t="s">
        <v>864</v>
      </c>
      <c r="Q98" s="57" t="s">
        <v>855</v>
      </c>
      <c r="T98" s="57" t="e">
        <f>VLOOKUP(Table1[[#This Row],[Project Code]],'[6]Combined Nov''25'!$E:$P,12,FALSE)</f>
        <v>#N/A</v>
      </c>
      <c r="U98" s="57" t="e">
        <v>#N/A</v>
      </c>
      <c r="V98" s="56" t="e">
        <v>#N/A</v>
      </c>
      <c r="W98" s="60" t="e">
        <v>#N/A</v>
      </c>
      <c r="X98" s="56" t="s">
        <v>1489</v>
      </c>
      <c r="Y98" s="56" t="s">
        <v>1489</v>
      </c>
      <c r="Z98" s="56" t="s">
        <v>1490</v>
      </c>
      <c r="AA98" s="56" t="s">
        <v>1490</v>
      </c>
      <c r="AB98" s="56" t="s">
        <v>1490</v>
      </c>
      <c r="AC98" s="56" t="s">
        <v>1490</v>
      </c>
      <c r="AD98" s="56" t="s">
        <v>1490</v>
      </c>
      <c r="AE98" s="56" t="s">
        <v>1490</v>
      </c>
      <c r="AF98" s="56" t="s">
        <v>1490</v>
      </c>
      <c r="AG98" s="56" t="s">
        <v>1490</v>
      </c>
      <c r="AH98" s="56" t="s">
        <v>1490</v>
      </c>
      <c r="AI98" s="56" t="s">
        <v>1490</v>
      </c>
      <c r="AJ98" s="56" t="s">
        <v>1490</v>
      </c>
      <c r="AK98" s="56" t="s">
        <v>1490</v>
      </c>
    </row>
    <row r="99" spans="1:37" s="56" customFormat="1" ht="30" customHeight="1" x14ac:dyDescent="0.25">
      <c r="A99" s="56">
        <v>98</v>
      </c>
      <c r="B99" s="57" t="s">
        <v>129</v>
      </c>
      <c r="C99" s="57" t="s">
        <v>420</v>
      </c>
      <c r="H99" s="58"/>
      <c r="I99" s="59"/>
      <c r="J99" s="59" t="e">
        <f>VLOOKUP(Table1[[#This Row],[Project Code]],'[6]Combined Nov''25'!$E:$O,10,FALSE)</f>
        <v>#N/A</v>
      </c>
      <c r="K99" s="57" t="s">
        <v>677</v>
      </c>
      <c r="L99" s="57" t="s">
        <v>781</v>
      </c>
      <c r="M99" s="56" t="s">
        <v>844</v>
      </c>
      <c r="N99" s="73" t="e">
        <f>VLOOKUP(Table1[[#This Row],[Project Code]],'[6]Combined Nov''25'!$E:$K,7,FALSE)</f>
        <v>#N/A</v>
      </c>
      <c r="O99" s="57" t="s">
        <v>859</v>
      </c>
      <c r="P99" s="56" t="s">
        <v>870</v>
      </c>
      <c r="Q99" s="57" t="s">
        <v>887</v>
      </c>
      <c r="T99" s="57" t="e">
        <f>VLOOKUP(Table1[[#This Row],[Project Code]],'[6]Combined Nov''25'!$E:$P,12,FALSE)</f>
        <v>#N/A</v>
      </c>
      <c r="U99" s="57" t="e">
        <v>#N/A</v>
      </c>
      <c r="V99" s="56" t="e">
        <v>#N/A</v>
      </c>
      <c r="W99" s="60" t="e">
        <v>#N/A</v>
      </c>
      <c r="X99" s="56" t="s">
        <v>1489</v>
      </c>
      <c r="Y99" s="56" t="s">
        <v>1489</v>
      </c>
      <c r="Z99" s="56" t="s">
        <v>1490</v>
      </c>
      <c r="AA99" s="56" t="s">
        <v>1490</v>
      </c>
      <c r="AB99" s="56" t="s">
        <v>1490</v>
      </c>
      <c r="AC99" s="56" t="s">
        <v>1490</v>
      </c>
      <c r="AD99" s="56" t="s">
        <v>1490</v>
      </c>
      <c r="AE99" s="56" t="s">
        <v>1490</v>
      </c>
      <c r="AF99" s="56" t="s">
        <v>1490</v>
      </c>
      <c r="AG99" s="56" t="s">
        <v>1490</v>
      </c>
      <c r="AH99" s="56" t="s">
        <v>1490</v>
      </c>
      <c r="AI99" s="56" t="s">
        <v>1490</v>
      </c>
      <c r="AJ99" s="56" t="s">
        <v>1490</v>
      </c>
      <c r="AK99" s="56" t="s">
        <v>1490</v>
      </c>
    </row>
    <row r="100" spans="1:37" s="56" customFormat="1" ht="30" customHeight="1" x14ac:dyDescent="0.25">
      <c r="A100" s="56">
        <v>99</v>
      </c>
      <c r="B100" s="57" t="s">
        <v>130</v>
      </c>
      <c r="C100" s="57" t="s">
        <v>421</v>
      </c>
      <c r="H100" s="58"/>
      <c r="I100" s="59"/>
      <c r="J100" s="59" t="e">
        <f>VLOOKUP(Table1[[#This Row],[Project Code]],'[6]Combined Nov''25'!$E:$O,10,FALSE)</f>
        <v>#N/A</v>
      </c>
      <c r="K100" s="69" t="e">
        <f>VLOOKUP(Table1[[#This Row],[Project Code]],'[6]Combined Nov''25'!$E:$K,6,FALSE)</f>
        <v>#N/A</v>
      </c>
      <c r="L100" s="57" t="s">
        <v>800</v>
      </c>
      <c r="M100" s="56" t="s">
        <v>843</v>
      </c>
      <c r="N100" s="73" t="e">
        <f>VLOOKUP(Table1[[#This Row],[Project Code]],'[6]Combined Nov''25'!$E:$K,7,FALSE)</f>
        <v>#N/A</v>
      </c>
      <c r="O100" s="57" t="s">
        <v>856</v>
      </c>
      <c r="P100" s="56" t="s">
        <v>864</v>
      </c>
      <c r="Q100" s="57" t="s">
        <v>886</v>
      </c>
      <c r="T100" s="57" t="e">
        <f>VLOOKUP(Table1[[#This Row],[Project Code]],'[6]Combined Nov''25'!$E:$P,12,FALSE)</f>
        <v>#N/A</v>
      </c>
      <c r="U100" s="57" t="e">
        <v>#N/A</v>
      </c>
      <c r="V100" s="56" t="e">
        <v>#N/A</v>
      </c>
      <c r="W100" s="60" t="e">
        <v>#N/A</v>
      </c>
      <c r="X100" s="56" t="s">
        <v>1489</v>
      </c>
      <c r="Y100" s="56" t="s">
        <v>1489</v>
      </c>
      <c r="Z100" s="56" t="s">
        <v>1490</v>
      </c>
      <c r="AA100" s="56" t="s">
        <v>1490</v>
      </c>
      <c r="AB100" s="56" t="s">
        <v>1490</v>
      </c>
      <c r="AC100" s="56" t="s">
        <v>1490</v>
      </c>
      <c r="AD100" s="56" t="s">
        <v>1490</v>
      </c>
      <c r="AE100" s="56" t="s">
        <v>1490</v>
      </c>
      <c r="AF100" s="56" t="s">
        <v>1490</v>
      </c>
      <c r="AG100" s="56" t="s">
        <v>1490</v>
      </c>
      <c r="AH100" s="56" t="s">
        <v>1490</v>
      </c>
      <c r="AI100" s="56" t="s">
        <v>1490</v>
      </c>
      <c r="AJ100" s="56" t="s">
        <v>1490</v>
      </c>
      <c r="AK100" s="56" t="s">
        <v>1490</v>
      </c>
    </row>
    <row r="101" spans="1:37" s="56" customFormat="1" ht="30" customHeight="1" x14ac:dyDescent="0.25">
      <c r="A101" s="56">
        <v>100</v>
      </c>
      <c r="B101" s="57" t="s">
        <v>131</v>
      </c>
      <c r="C101" s="57" t="s">
        <v>422</v>
      </c>
      <c r="D101" s="56" t="s">
        <v>619</v>
      </c>
      <c r="E101" s="56" t="s">
        <v>632</v>
      </c>
      <c r="G101" s="56" t="str">
        <f>VLOOKUP(Table1[[#This Row],[Project Code]],[1]Combined!$E:$I,5,FALSE)</f>
        <v>Ongoing</v>
      </c>
      <c r="H101" s="58">
        <f>VLOOKUP(Table1[[#This Row],[Project Code]],'[2]Combined '!$E:$N,8,FALSE)</f>
        <v>43908</v>
      </c>
      <c r="I101" s="59"/>
      <c r="J101" s="59">
        <f>VLOOKUP(Table1[[#This Row],[Project Code]],'[6]Combined Nov''25'!$E:$O,10,FALSE)</f>
        <v>46112</v>
      </c>
      <c r="K101" s="69" t="s">
        <v>689</v>
      </c>
      <c r="L101" s="69" t="s">
        <v>807</v>
      </c>
      <c r="M101" s="73" t="s">
        <v>844</v>
      </c>
      <c r="N101" s="73" t="s">
        <v>895</v>
      </c>
      <c r="O101" s="69" t="s">
        <v>861</v>
      </c>
      <c r="P101" s="73" t="s">
        <v>876</v>
      </c>
      <c r="Q101" s="57" t="s">
        <v>887</v>
      </c>
      <c r="T101" s="57" t="s">
        <v>949</v>
      </c>
      <c r="U101" s="57" t="s">
        <v>1112</v>
      </c>
      <c r="V101" s="56" t="s">
        <v>1058</v>
      </c>
      <c r="W101" s="60">
        <v>0</v>
      </c>
      <c r="X101" s="56" t="s">
        <v>1489</v>
      </c>
      <c r="Y101" s="56" t="s">
        <v>1491</v>
      </c>
      <c r="Z101" s="56" t="s">
        <v>1490</v>
      </c>
      <c r="AA101" s="56" t="s">
        <v>1490</v>
      </c>
      <c r="AB101" s="56" t="s">
        <v>1490</v>
      </c>
      <c r="AC101" s="56" t="s">
        <v>1490</v>
      </c>
      <c r="AD101" s="56" t="s">
        <v>1490</v>
      </c>
      <c r="AE101" s="56" t="s">
        <v>1490</v>
      </c>
      <c r="AF101" s="56" t="s">
        <v>1490</v>
      </c>
      <c r="AG101" s="56" t="s">
        <v>1490</v>
      </c>
      <c r="AH101" s="56" t="s">
        <v>1490</v>
      </c>
      <c r="AI101" s="56" t="s">
        <v>1490</v>
      </c>
      <c r="AJ101" s="56" t="s">
        <v>1490</v>
      </c>
      <c r="AK101" s="56" t="s">
        <v>1490</v>
      </c>
    </row>
    <row r="102" spans="1:37" s="56" customFormat="1" ht="30" customHeight="1" x14ac:dyDescent="0.25">
      <c r="A102" s="56">
        <v>101</v>
      </c>
      <c r="B102" s="57" t="s">
        <v>132</v>
      </c>
      <c r="C102" s="57" t="s">
        <v>423</v>
      </c>
      <c r="D102" s="56" t="s">
        <v>619</v>
      </c>
      <c r="E102" s="56" t="s">
        <v>632</v>
      </c>
      <c r="G102" s="56" t="str">
        <f>VLOOKUP(Table1[[#This Row],[Project Code]],[1]Combined!$E:$I,5,FALSE)</f>
        <v>Ongoing</v>
      </c>
      <c r="H102" s="58">
        <f>VLOOKUP(Table1[[#This Row],[Project Code]],'[2]Combined '!$E:$N,8,FALSE)</f>
        <v>43839</v>
      </c>
      <c r="I102" s="59"/>
      <c r="J102" s="59"/>
      <c r="K102" s="69" t="str">
        <f>VLOOKUP(Table1[[#This Row],[Project Code]],'[6]Combined Nov''25'!$E:$K,6,FALSE)</f>
        <v>JSWEBL</v>
      </c>
      <c r="L102" s="69" t="s">
        <v>808</v>
      </c>
      <c r="M102" s="73" t="s">
        <v>849</v>
      </c>
      <c r="N102" s="73" t="s">
        <v>895</v>
      </c>
      <c r="O102" s="69" t="s">
        <v>861</v>
      </c>
      <c r="P102" s="73" t="s">
        <v>868</v>
      </c>
      <c r="Q102" s="57" t="s">
        <v>887</v>
      </c>
      <c r="T102" s="57" t="s">
        <v>950</v>
      </c>
      <c r="U102" s="57" t="s">
        <v>1113</v>
      </c>
      <c r="V102" s="56" t="s">
        <v>1058</v>
      </c>
      <c r="W102" s="60">
        <v>0</v>
      </c>
      <c r="X102" s="56" t="s">
        <v>1489</v>
      </c>
      <c r="Y102" s="56" t="s">
        <v>1491</v>
      </c>
      <c r="Z102" s="56" t="s">
        <v>1490</v>
      </c>
      <c r="AA102" s="56" t="s">
        <v>1490</v>
      </c>
      <c r="AB102" s="56" t="s">
        <v>1490</v>
      </c>
      <c r="AC102" s="56" t="s">
        <v>1490</v>
      </c>
      <c r="AD102" s="56" t="s">
        <v>1490</v>
      </c>
      <c r="AE102" s="56" t="s">
        <v>1490</v>
      </c>
      <c r="AF102" s="56" t="s">
        <v>1490</v>
      </c>
      <c r="AG102" s="56" t="s">
        <v>1490</v>
      </c>
      <c r="AH102" s="56" t="s">
        <v>1490</v>
      </c>
      <c r="AI102" s="56" t="s">
        <v>1490</v>
      </c>
      <c r="AJ102" s="56" t="s">
        <v>1490</v>
      </c>
      <c r="AK102" s="56" t="s">
        <v>1490</v>
      </c>
    </row>
    <row r="103" spans="1:37" s="56" customFormat="1" ht="30" customHeight="1" x14ac:dyDescent="0.25">
      <c r="A103" s="56">
        <v>102</v>
      </c>
      <c r="B103" s="57" t="s">
        <v>133</v>
      </c>
      <c r="C103" s="57" t="s">
        <v>424</v>
      </c>
      <c r="H103" s="58"/>
      <c r="I103" s="59"/>
      <c r="J103" s="59" t="e">
        <f>VLOOKUP(Table1[[#This Row],[Project Code]],'[6]Combined Nov''25'!$E:$O,10,FALSE)</f>
        <v>#N/A</v>
      </c>
      <c r="K103" s="69" t="e">
        <f>VLOOKUP(Table1[[#This Row],[Project Code]],'[6]Combined Nov''25'!$E:$K,6,FALSE)</f>
        <v>#N/A</v>
      </c>
      <c r="L103" s="57" t="s">
        <v>809</v>
      </c>
      <c r="M103" s="56" t="s">
        <v>849</v>
      </c>
      <c r="N103" s="73" t="e">
        <f>VLOOKUP(Table1[[#This Row],[Project Code]],'[6]Combined Nov''25'!$E:$K,7,FALSE)</f>
        <v>#N/A</v>
      </c>
      <c r="O103" s="57" t="s">
        <v>861</v>
      </c>
      <c r="P103" s="56" t="s">
        <v>869</v>
      </c>
      <c r="Q103" s="57" t="s">
        <v>887</v>
      </c>
      <c r="T103" s="57" t="e">
        <f>VLOOKUP(Table1[[#This Row],[Project Code]],'[6]Combined Nov''25'!$E:$P,12,FALSE)</f>
        <v>#N/A</v>
      </c>
      <c r="U103" s="57" t="e">
        <v>#N/A</v>
      </c>
      <c r="V103" s="56" t="e">
        <v>#N/A</v>
      </c>
      <c r="W103" s="60" t="e">
        <v>#N/A</v>
      </c>
      <c r="X103" s="56" t="s">
        <v>1489</v>
      </c>
      <c r="Y103" s="56" t="s">
        <v>1489</v>
      </c>
      <c r="Z103" s="56" t="s">
        <v>1490</v>
      </c>
      <c r="AA103" s="56" t="s">
        <v>1490</v>
      </c>
      <c r="AB103" s="56" t="s">
        <v>1490</v>
      </c>
      <c r="AC103" s="56" t="s">
        <v>1490</v>
      </c>
      <c r="AD103" s="56" t="s">
        <v>1490</v>
      </c>
      <c r="AE103" s="56" t="s">
        <v>1490</v>
      </c>
      <c r="AF103" s="56" t="s">
        <v>1490</v>
      </c>
      <c r="AG103" s="56" t="s">
        <v>1490</v>
      </c>
      <c r="AH103" s="56" t="s">
        <v>1490</v>
      </c>
      <c r="AI103" s="56" t="s">
        <v>1490</v>
      </c>
      <c r="AJ103" s="56" t="s">
        <v>1490</v>
      </c>
      <c r="AK103" s="56" t="s">
        <v>1490</v>
      </c>
    </row>
    <row r="104" spans="1:37" s="56" customFormat="1" ht="30" customHeight="1" x14ac:dyDescent="0.25">
      <c r="A104" s="56">
        <v>103</v>
      </c>
      <c r="B104" s="57" t="s">
        <v>134</v>
      </c>
      <c r="C104" s="57" t="s">
        <v>425</v>
      </c>
      <c r="D104" s="56" t="s">
        <v>616</v>
      </c>
      <c r="E104" s="56" t="s">
        <v>636</v>
      </c>
      <c r="G104" s="56" t="str">
        <f>VLOOKUP(Table1[[#This Row],[Project Code]],[1]Combined!$E:$I,5,FALSE)</f>
        <v>Ongoing</v>
      </c>
      <c r="H104" s="58">
        <f>VLOOKUP(Table1[[#This Row],[Project Code]],'[2]Combined '!$E:$N,8,FALSE)</f>
        <v>44124</v>
      </c>
      <c r="I104" s="59"/>
      <c r="J104" s="59"/>
      <c r="K104" s="69" t="str">
        <f>VLOOKUP(Table1[[#This Row],[Project Code]],'[6]Combined Nov''25'!$E:$K,6,FALSE)</f>
        <v>MoJS</v>
      </c>
      <c r="L104" s="69" t="s">
        <v>804</v>
      </c>
      <c r="M104" s="73" t="s">
        <v>843</v>
      </c>
      <c r="N104" s="73" t="s">
        <v>902</v>
      </c>
      <c r="O104" s="69" t="s">
        <v>859</v>
      </c>
      <c r="P104" s="73" t="s">
        <v>864</v>
      </c>
      <c r="Q104" s="57" t="s">
        <v>887</v>
      </c>
      <c r="T104" s="57" t="s">
        <v>1079</v>
      </c>
      <c r="U104" s="57" t="s">
        <v>1114</v>
      </c>
      <c r="V104" s="56" t="s">
        <v>1058</v>
      </c>
      <c r="W104" s="60">
        <v>103136251.68000001</v>
      </c>
      <c r="X104" s="56" t="s">
        <v>1489</v>
      </c>
      <c r="Y104" s="56" t="s">
        <v>1489</v>
      </c>
      <c r="Z104" s="56" t="s">
        <v>1490</v>
      </c>
      <c r="AA104" s="56" t="s">
        <v>1490</v>
      </c>
      <c r="AB104" s="56" t="s">
        <v>1490</v>
      </c>
      <c r="AC104" s="56" t="s">
        <v>1490</v>
      </c>
      <c r="AD104" s="56" t="s">
        <v>1490</v>
      </c>
      <c r="AE104" s="56" t="s">
        <v>1490</v>
      </c>
      <c r="AF104" s="56" t="s">
        <v>1490</v>
      </c>
      <c r="AG104" s="56" t="s">
        <v>1490</v>
      </c>
      <c r="AH104" s="56" t="s">
        <v>1490</v>
      </c>
      <c r="AI104" s="56" t="s">
        <v>1490</v>
      </c>
      <c r="AJ104" s="56" t="s">
        <v>1490</v>
      </c>
      <c r="AK104" s="56" t="s">
        <v>1490</v>
      </c>
    </row>
    <row r="105" spans="1:37" s="56" customFormat="1" ht="30" customHeight="1" x14ac:dyDescent="0.25">
      <c r="A105" s="56">
        <v>104</v>
      </c>
      <c r="B105" s="57" t="s">
        <v>135</v>
      </c>
      <c r="C105" s="57" t="s">
        <v>426</v>
      </c>
      <c r="H105" s="58"/>
      <c r="I105" s="59"/>
      <c r="J105" s="59" t="e">
        <f>VLOOKUP(Table1[[#This Row],[Project Code]],'[6]Combined Nov''25'!$E:$O,10,FALSE)</f>
        <v>#N/A</v>
      </c>
      <c r="K105" s="69" t="e">
        <f>VLOOKUP(Table1[[#This Row],[Project Code]],'[6]Combined Nov''25'!$E:$K,6,FALSE)</f>
        <v>#N/A</v>
      </c>
      <c r="L105" s="57" t="s">
        <v>810</v>
      </c>
      <c r="M105" s="56" t="s">
        <v>843</v>
      </c>
      <c r="N105" s="73" t="e">
        <f>VLOOKUP(Table1[[#This Row],[Project Code]],'[6]Combined Nov''25'!$E:$K,7,FALSE)</f>
        <v>#N/A</v>
      </c>
      <c r="O105" s="57" t="s">
        <v>863</v>
      </c>
      <c r="P105" s="56" t="s">
        <v>864</v>
      </c>
      <c r="Q105" s="57" t="s">
        <v>888</v>
      </c>
      <c r="T105" s="57" t="e">
        <f>VLOOKUP(Table1[[#This Row],[Project Code]],'[6]Combined Nov''25'!$E:$P,12,FALSE)</f>
        <v>#N/A</v>
      </c>
      <c r="U105" s="57" t="e">
        <v>#N/A</v>
      </c>
      <c r="V105" s="56" t="e">
        <v>#N/A</v>
      </c>
      <c r="W105" s="60" t="e">
        <v>#N/A</v>
      </c>
      <c r="X105" s="56" t="s">
        <v>1489</v>
      </c>
      <c r="Y105" s="56" t="s">
        <v>1489</v>
      </c>
      <c r="Z105" s="56" t="s">
        <v>1490</v>
      </c>
      <c r="AA105" s="56" t="s">
        <v>1490</v>
      </c>
      <c r="AB105" s="56" t="s">
        <v>1490</v>
      </c>
      <c r="AC105" s="56" t="s">
        <v>1490</v>
      </c>
      <c r="AD105" s="56" t="s">
        <v>1490</v>
      </c>
      <c r="AE105" s="56" t="s">
        <v>1490</v>
      </c>
      <c r="AF105" s="56" t="s">
        <v>1490</v>
      </c>
      <c r="AG105" s="56" t="s">
        <v>1490</v>
      </c>
      <c r="AH105" s="56" t="s">
        <v>1490</v>
      </c>
      <c r="AI105" s="56" t="s">
        <v>1490</v>
      </c>
      <c r="AJ105" s="56" t="s">
        <v>1490</v>
      </c>
      <c r="AK105" s="56" t="s">
        <v>1490</v>
      </c>
    </row>
    <row r="106" spans="1:37" s="56" customFormat="1" ht="30" customHeight="1" x14ac:dyDescent="0.25">
      <c r="A106" s="56">
        <v>105</v>
      </c>
      <c r="B106" s="57" t="s">
        <v>136</v>
      </c>
      <c r="C106" s="57" t="s">
        <v>427</v>
      </c>
      <c r="H106" s="58"/>
      <c r="I106" s="59"/>
      <c r="J106" s="59" t="e">
        <f>VLOOKUP(Table1[[#This Row],[Project Code]],'[6]Combined Nov''25'!$E:$O,10,FALSE)</f>
        <v>#N/A</v>
      </c>
      <c r="K106" s="69" t="e">
        <f>VLOOKUP(Table1[[#This Row],[Project Code]],'[6]Combined Nov''25'!$E:$K,6,FALSE)</f>
        <v>#N/A</v>
      </c>
      <c r="L106" s="57" t="s">
        <v>696</v>
      </c>
      <c r="M106" s="56" t="s">
        <v>843</v>
      </c>
      <c r="N106" s="73" t="e">
        <f>VLOOKUP(Table1[[#This Row],[Project Code]],'[6]Combined Nov''25'!$E:$K,7,FALSE)</f>
        <v>#N/A</v>
      </c>
      <c r="O106" s="57" t="s">
        <v>859</v>
      </c>
      <c r="P106" s="56" t="s">
        <v>864</v>
      </c>
      <c r="Q106" s="57" t="s">
        <v>887</v>
      </c>
      <c r="T106" s="57" t="e">
        <f>VLOOKUP(Table1[[#This Row],[Project Code]],'[6]Combined Nov''25'!$E:$P,12,FALSE)</f>
        <v>#N/A</v>
      </c>
      <c r="U106" s="57" t="e">
        <v>#N/A</v>
      </c>
      <c r="V106" s="56" t="e">
        <v>#N/A</v>
      </c>
      <c r="W106" s="60" t="e">
        <v>#N/A</v>
      </c>
      <c r="X106" s="56" t="s">
        <v>1489</v>
      </c>
      <c r="Y106" s="56" t="s">
        <v>1489</v>
      </c>
      <c r="Z106" s="56" t="s">
        <v>1490</v>
      </c>
      <c r="AA106" s="56" t="s">
        <v>1490</v>
      </c>
      <c r="AB106" s="56" t="s">
        <v>1490</v>
      </c>
      <c r="AC106" s="56" t="s">
        <v>1490</v>
      </c>
      <c r="AD106" s="56" t="s">
        <v>1490</v>
      </c>
      <c r="AE106" s="56" t="s">
        <v>1490</v>
      </c>
      <c r="AF106" s="56" t="s">
        <v>1490</v>
      </c>
      <c r="AG106" s="56" t="s">
        <v>1490</v>
      </c>
      <c r="AH106" s="56" t="s">
        <v>1490</v>
      </c>
      <c r="AI106" s="56" t="s">
        <v>1490</v>
      </c>
      <c r="AJ106" s="56" t="s">
        <v>1490</v>
      </c>
      <c r="AK106" s="56" t="s">
        <v>1490</v>
      </c>
    </row>
    <row r="107" spans="1:37" s="56" customFormat="1" ht="30" customHeight="1" x14ac:dyDescent="0.25">
      <c r="A107" s="56">
        <v>106</v>
      </c>
      <c r="B107" s="57" t="s">
        <v>137</v>
      </c>
      <c r="C107" s="57" t="s">
        <v>428</v>
      </c>
      <c r="H107" s="58"/>
      <c r="I107" s="59"/>
      <c r="J107" s="59" t="e">
        <f>VLOOKUP(Table1[[#This Row],[Project Code]],'[6]Combined Nov''25'!$E:$O,10,FALSE)</f>
        <v>#N/A</v>
      </c>
      <c r="K107" s="69" t="e">
        <f>VLOOKUP(Table1[[#This Row],[Project Code]],'[6]Combined Nov''25'!$E:$K,6,FALSE)</f>
        <v>#N/A</v>
      </c>
      <c r="L107" s="57" t="s">
        <v>691</v>
      </c>
      <c r="M107" s="56" t="s">
        <v>843</v>
      </c>
      <c r="N107" s="73" t="e">
        <f>VLOOKUP(Table1[[#This Row],[Project Code]],'[6]Combined Nov''25'!$E:$K,7,FALSE)</f>
        <v>#N/A</v>
      </c>
      <c r="O107" s="57" t="s">
        <v>863</v>
      </c>
      <c r="P107" s="56" t="s">
        <v>864</v>
      </c>
      <c r="Q107" s="57" t="s">
        <v>886</v>
      </c>
      <c r="T107" s="57" t="e">
        <f>VLOOKUP(Table1[[#This Row],[Project Code]],'[6]Combined Nov''25'!$E:$P,12,FALSE)</f>
        <v>#N/A</v>
      </c>
      <c r="U107" s="57" t="e">
        <v>#N/A</v>
      </c>
      <c r="V107" s="56" t="e">
        <v>#N/A</v>
      </c>
      <c r="W107" s="60" t="e">
        <v>#N/A</v>
      </c>
      <c r="X107" s="56" t="s">
        <v>1489</v>
      </c>
      <c r="Y107" s="56" t="s">
        <v>1489</v>
      </c>
      <c r="Z107" s="56" t="s">
        <v>1490</v>
      </c>
      <c r="AA107" s="56" t="s">
        <v>1490</v>
      </c>
      <c r="AB107" s="56" t="s">
        <v>1490</v>
      </c>
      <c r="AC107" s="56" t="s">
        <v>1490</v>
      </c>
      <c r="AD107" s="56" t="s">
        <v>1490</v>
      </c>
      <c r="AE107" s="56" t="s">
        <v>1490</v>
      </c>
      <c r="AF107" s="56" t="s">
        <v>1490</v>
      </c>
      <c r="AG107" s="56" t="s">
        <v>1490</v>
      </c>
      <c r="AH107" s="56" t="s">
        <v>1490</v>
      </c>
      <c r="AI107" s="56" t="s">
        <v>1490</v>
      </c>
      <c r="AJ107" s="56" t="s">
        <v>1490</v>
      </c>
      <c r="AK107" s="56" t="s">
        <v>1490</v>
      </c>
    </row>
    <row r="108" spans="1:37" s="56" customFormat="1" ht="30" customHeight="1" x14ac:dyDescent="0.25">
      <c r="A108" s="56">
        <v>107</v>
      </c>
      <c r="B108" s="57" t="s">
        <v>138</v>
      </c>
      <c r="C108" s="57" t="s">
        <v>429</v>
      </c>
      <c r="H108" s="58"/>
      <c r="I108" s="59"/>
      <c r="J108" s="59" t="e">
        <f>VLOOKUP(Table1[[#This Row],[Project Code]],'[6]Combined Nov''25'!$E:$O,10,FALSE)</f>
        <v>#N/A</v>
      </c>
      <c r="K108" s="69" t="e">
        <f>VLOOKUP(Table1[[#This Row],[Project Code]],'[6]Combined Nov''25'!$E:$K,6,FALSE)</f>
        <v>#N/A</v>
      </c>
      <c r="L108" s="57" t="s">
        <v>691</v>
      </c>
      <c r="M108" s="56" t="s">
        <v>843</v>
      </c>
      <c r="N108" s="73" t="e">
        <f>VLOOKUP(Table1[[#This Row],[Project Code]],'[6]Combined Nov''25'!$E:$K,7,FALSE)</f>
        <v>#N/A</v>
      </c>
      <c r="O108" s="57" t="s">
        <v>863</v>
      </c>
      <c r="P108" s="56" t="s">
        <v>864</v>
      </c>
      <c r="Q108" s="57" t="s">
        <v>886</v>
      </c>
      <c r="T108" s="57" t="e">
        <f>VLOOKUP(Table1[[#This Row],[Project Code]],'[6]Combined Nov''25'!$E:$P,12,FALSE)</f>
        <v>#N/A</v>
      </c>
      <c r="U108" s="57" t="e">
        <v>#N/A</v>
      </c>
      <c r="V108" s="56" t="e">
        <v>#N/A</v>
      </c>
      <c r="W108" s="60" t="e">
        <v>#N/A</v>
      </c>
      <c r="X108" s="56" t="s">
        <v>1489</v>
      </c>
      <c r="Y108" s="56" t="s">
        <v>1491</v>
      </c>
      <c r="Z108" s="56" t="s">
        <v>1490</v>
      </c>
      <c r="AA108" s="56" t="s">
        <v>1490</v>
      </c>
      <c r="AB108" s="56" t="s">
        <v>1490</v>
      </c>
      <c r="AC108" s="56" t="s">
        <v>1490</v>
      </c>
      <c r="AD108" s="56" t="s">
        <v>1490</v>
      </c>
      <c r="AE108" s="56" t="s">
        <v>1490</v>
      </c>
      <c r="AF108" s="56" t="s">
        <v>1490</v>
      </c>
      <c r="AG108" s="56" t="s">
        <v>1490</v>
      </c>
      <c r="AH108" s="56" t="s">
        <v>1490</v>
      </c>
      <c r="AI108" s="56" t="s">
        <v>1490</v>
      </c>
      <c r="AJ108" s="56" t="s">
        <v>1490</v>
      </c>
      <c r="AK108" s="56" t="s">
        <v>1490</v>
      </c>
    </row>
    <row r="109" spans="1:37" s="56" customFormat="1" ht="30" customHeight="1" x14ac:dyDescent="0.25">
      <c r="A109" s="56">
        <v>108</v>
      </c>
      <c r="B109" s="57" t="s">
        <v>139</v>
      </c>
      <c r="C109" s="57" t="s">
        <v>430</v>
      </c>
      <c r="H109" s="58"/>
      <c r="I109" s="59"/>
      <c r="J109" s="59" t="e">
        <f>VLOOKUP(Table1[[#This Row],[Project Code]],'[6]Combined Nov''25'!$E:$O,10,FALSE)</f>
        <v>#N/A</v>
      </c>
      <c r="K109" s="69" t="e">
        <f>VLOOKUP(Table1[[#This Row],[Project Code]],'[6]Combined Nov''25'!$E:$K,6,FALSE)</f>
        <v>#N/A</v>
      </c>
      <c r="L109" s="57" t="s">
        <v>811</v>
      </c>
      <c r="M109" s="56" t="s">
        <v>843</v>
      </c>
      <c r="N109" s="73" t="e">
        <f>VLOOKUP(Table1[[#This Row],[Project Code]],'[6]Combined Nov''25'!$E:$K,7,FALSE)</f>
        <v>#N/A</v>
      </c>
      <c r="O109" s="57" t="s">
        <v>863</v>
      </c>
      <c r="P109" s="56" t="s">
        <v>864</v>
      </c>
      <c r="Q109" s="57" t="s">
        <v>886</v>
      </c>
      <c r="T109" s="57" t="e">
        <f>VLOOKUP(Table1[[#This Row],[Project Code]],'[6]Combined Nov''25'!$E:$P,12,FALSE)</f>
        <v>#N/A</v>
      </c>
      <c r="U109" s="57" t="e">
        <v>#N/A</v>
      </c>
      <c r="V109" s="56" t="e">
        <v>#N/A</v>
      </c>
      <c r="W109" s="60" t="e">
        <v>#N/A</v>
      </c>
      <c r="X109" s="56" t="s">
        <v>1489</v>
      </c>
      <c r="Y109" s="56" t="s">
        <v>1491</v>
      </c>
      <c r="Z109" s="56" t="s">
        <v>1490</v>
      </c>
      <c r="AA109" s="56" t="s">
        <v>1490</v>
      </c>
      <c r="AB109" s="56" t="s">
        <v>1490</v>
      </c>
      <c r="AC109" s="56" t="s">
        <v>1490</v>
      </c>
      <c r="AD109" s="56" t="s">
        <v>1490</v>
      </c>
      <c r="AE109" s="56" t="s">
        <v>1490</v>
      </c>
      <c r="AF109" s="56" t="s">
        <v>1490</v>
      </c>
      <c r="AG109" s="56" t="s">
        <v>1490</v>
      </c>
      <c r="AH109" s="56" t="s">
        <v>1490</v>
      </c>
      <c r="AI109" s="56" t="s">
        <v>1490</v>
      </c>
      <c r="AJ109" s="56" t="s">
        <v>1490</v>
      </c>
      <c r="AK109" s="56" t="s">
        <v>1490</v>
      </c>
    </row>
    <row r="110" spans="1:37" s="56" customFormat="1" ht="30" customHeight="1" x14ac:dyDescent="0.25">
      <c r="A110" s="56">
        <v>109</v>
      </c>
      <c r="B110" s="57" t="s">
        <v>140</v>
      </c>
      <c r="C110" s="57" t="s">
        <v>431</v>
      </c>
      <c r="D110" s="56" t="s">
        <v>616</v>
      </c>
      <c r="E110" s="56" t="s">
        <v>637</v>
      </c>
      <c r="G110" s="56" t="str">
        <f>VLOOKUP(Table1[[#This Row],[Project Code]],[1]Combined!$E:$I,5,FALSE)</f>
        <v>Ongoing</v>
      </c>
      <c r="H110" s="58">
        <f>VLOOKUP(Table1[[#This Row],[Project Code]],'[2]Combined '!$E:$N,8,FALSE)</f>
        <v>44136</v>
      </c>
      <c r="I110" s="59"/>
      <c r="J110" s="59">
        <f>VLOOKUP(Table1[[#This Row],[Project Code]],'[6]Combined Nov''25'!$E:$O,10,FALSE)</f>
        <v>46112</v>
      </c>
      <c r="K110" s="69" t="str">
        <f>VLOOKUP(Table1[[#This Row],[Project Code]],'[6]Combined Nov''25'!$E:$K,6,FALSE)</f>
        <v>MoHUA</v>
      </c>
      <c r="L110" s="69" t="s">
        <v>696</v>
      </c>
      <c r="M110" s="73" t="s">
        <v>843</v>
      </c>
      <c r="N110" s="73" t="s">
        <v>903</v>
      </c>
      <c r="O110" s="69" t="s">
        <v>863</v>
      </c>
      <c r="P110" s="73" t="s">
        <v>864</v>
      </c>
      <c r="Q110" s="57" t="s">
        <v>886</v>
      </c>
      <c r="T110" s="57" t="s">
        <v>951</v>
      </c>
      <c r="U110" s="57" t="s">
        <v>1115</v>
      </c>
      <c r="V110" s="56" t="s">
        <v>1057</v>
      </c>
      <c r="W110" s="60" t="s">
        <v>1061</v>
      </c>
      <c r="X110" s="56" t="s">
        <v>1489</v>
      </c>
      <c r="Y110" s="56" t="s">
        <v>1491</v>
      </c>
      <c r="Z110" s="56" t="s">
        <v>1490</v>
      </c>
      <c r="AA110" s="56" t="s">
        <v>1490</v>
      </c>
      <c r="AB110" s="56" t="s">
        <v>1490</v>
      </c>
      <c r="AC110" s="56" t="s">
        <v>1490</v>
      </c>
      <c r="AD110" s="56" t="s">
        <v>1490</v>
      </c>
      <c r="AE110" s="56" t="s">
        <v>1490</v>
      </c>
      <c r="AF110" s="56" t="s">
        <v>1490</v>
      </c>
      <c r="AG110" s="56" t="s">
        <v>1490</v>
      </c>
      <c r="AH110" s="56" t="s">
        <v>1490</v>
      </c>
      <c r="AI110" s="56" t="s">
        <v>1490</v>
      </c>
      <c r="AJ110" s="56" t="s">
        <v>1490</v>
      </c>
      <c r="AK110" s="56" t="s">
        <v>1490</v>
      </c>
    </row>
    <row r="111" spans="1:37" s="56" customFormat="1" ht="30" customHeight="1" x14ac:dyDescent="0.25">
      <c r="A111" s="56">
        <v>110</v>
      </c>
      <c r="B111" s="57" t="s">
        <v>141</v>
      </c>
      <c r="C111" s="57" t="s">
        <v>432</v>
      </c>
      <c r="H111" s="58"/>
      <c r="I111" s="59"/>
      <c r="J111" s="59" t="e">
        <f>VLOOKUP(Table1[[#This Row],[Project Code]],'[6]Combined Nov''25'!$E:$O,10,FALSE)</f>
        <v>#N/A</v>
      </c>
      <c r="K111" s="57" t="s">
        <v>690</v>
      </c>
      <c r="L111" s="57" t="s">
        <v>812</v>
      </c>
      <c r="M111" s="56" t="s">
        <v>843</v>
      </c>
      <c r="N111" s="73" t="e">
        <f>VLOOKUP(Table1[[#This Row],[Project Code]],'[6]Combined Nov''25'!$E:$K,7,FALSE)</f>
        <v>#N/A</v>
      </c>
      <c r="O111" s="57" t="s">
        <v>863</v>
      </c>
      <c r="P111" s="56" t="s">
        <v>870</v>
      </c>
      <c r="Q111" s="57" t="s">
        <v>887</v>
      </c>
      <c r="T111" s="57" t="e">
        <f>VLOOKUP(Table1[[#This Row],[Project Code]],'[6]Combined Nov''25'!$E:$P,12,FALSE)</f>
        <v>#N/A</v>
      </c>
      <c r="U111" s="57" t="e">
        <v>#N/A</v>
      </c>
      <c r="V111" s="56" t="e">
        <v>#N/A</v>
      </c>
      <c r="W111" s="60" t="e">
        <v>#N/A</v>
      </c>
      <c r="X111" s="56" t="s">
        <v>1489</v>
      </c>
      <c r="Y111" s="56" t="s">
        <v>1489</v>
      </c>
      <c r="Z111" s="56" t="s">
        <v>1490</v>
      </c>
      <c r="AA111" s="56" t="s">
        <v>1490</v>
      </c>
      <c r="AB111" s="56" t="s">
        <v>1490</v>
      </c>
      <c r="AC111" s="56" t="s">
        <v>1490</v>
      </c>
      <c r="AD111" s="56" t="s">
        <v>1490</v>
      </c>
      <c r="AE111" s="56" t="s">
        <v>1490</v>
      </c>
      <c r="AF111" s="56" t="s">
        <v>1490</v>
      </c>
      <c r="AG111" s="56" t="s">
        <v>1490</v>
      </c>
      <c r="AH111" s="56" t="s">
        <v>1490</v>
      </c>
      <c r="AI111" s="56" t="s">
        <v>1490</v>
      </c>
      <c r="AJ111" s="56" t="s">
        <v>1490</v>
      </c>
      <c r="AK111" s="56" t="s">
        <v>1490</v>
      </c>
    </row>
    <row r="112" spans="1:37" s="56" customFormat="1" ht="30" customHeight="1" x14ac:dyDescent="0.25">
      <c r="A112" s="56">
        <v>111</v>
      </c>
      <c r="B112" s="57" t="s">
        <v>142</v>
      </c>
      <c r="C112" s="57" t="s">
        <v>433</v>
      </c>
      <c r="H112" s="58"/>
      <c r="I112" s="59"/>
      <c r="J112" s="59" t="e">
        <f>VLOOKUP(Table1[[#This Row],[Project Code]],'[6]Combined Nov''25'!$E:$O,10,FALSE)</f>
        <v>#N/A</v>
      </c>
      <c r="K112" s="69" t="e">
        <f>VLOOKUP(Table1[[#This Row],[Project Code]],'[6]Combined Nov''25'!$E:$K,6,FALSE)</f>
        <v>#N/A</v>
      </c>
      <c r="L112" s="57" t="s">
        <v>789</v>
      </c>
      <c r="M112" s="56" t="s">
        <v>843</v>
      </c>
      <c r="N112" s="73" t="e">
        <f>VLOOKUP(Table1[[#This Row],[Project Code]],'[6]Combined Nov''25'!$E:$K,7,FALSE)</f>
        <v>#N/A</v>
      </c>
      <c r="O112" s="57" t="s">
        <v>863</v>
      </c>
      <c r="P112" s="56" t="s">
        <v>864</v>
      </c>
      <c r="Q112" s="57" t="s">
        <v>887</v>
      </c>
      <c r="T112" s="57" t="e">
        <f>VLOOKUP(Table1[[#This Row],[Project Code]],'[6]Combined Nov''25'!$E:$P,12,FALSE)</f>
        <v>#N/A</v>
      </c>
      <c r="U112" s="57" t="e">
        <v>#N/A</v>
      </c>
      <c r="V112" s="56" t="e">
        <v>#N/A</v>
      </c>
      <c r="W112" s="60" t="e">
        <v>#N/A</v>
      </c>
      <c r="X112" s="56" t="s">
        <v>1489</v>
      </c>
      <c r="Y112" s="56" t="s">
        <v>1491</v>
      </c>
      <c r="Z112" s="56" t="s">
        <v>1490</v>
      </c>
      <c r="AA112" s="56" t="s">
        <v>1490</v>
      </c>
      <c r="AB112" s="56" t="s">
        <v>1490</v>
      </c>
      <c r="AC112" s="56" t="s">
        <v>1490</v>
      </c>
      <c r="AD112" s="56" t="s">
        <v>1490</v>
      </c>
      <c r="AE112" s="56" t="s">
        <v>1490</v>
      </c>
      <c r="AF112" s="56" t="s">
        <v>1490</v>
      </c>
      <c r="AG112" s="56" t="s">
        <v>1490</v>
      </c>
      <c r="AH112" s="56" t="s">
        <v>1490</v>
      </c>
      <c r="AI112" s="56" t="s">
        <v>1490</v>
      </c>
      <c r="AJ112" s="56" t="s">
        <v>1490</v>
      </c>
      <c r="AK112" s="56" t="s">
        <v>1490</v>
      </c>
    </row>
    <row r="113" spans="1:37" s="56" customFormat="1" ht="30" customHeight="1" x14ac:dyDescent="0.25">
      <c r="A113" s="56">
        <v>112</v>
      </c>
      <c r="B113" s="57" t="s">
        <v>143</v>
      </c>
      <c r="C113" s="57" t="s">
        <v>434</v>
      </c>
      <c r="H113" s="58"/>
      <c r="I113" s="59"/>
      <c r="J113" s="59" t="e">
        <f>VLOOKUP(Table1[[#This Row],[Project Code]],'[6]Combined Nov''25'!$E:$O,10,FALSE)</f>
        <v>#N/A</v>
      </c>
      <c r="K113" s="69" t="e">
        <f>VLOOKUP(Table1[[#This Row],[Project Code]],'[6]Combined Nov''25'!$E:$K,6,FALSE)</f>
        <v>#N/A</v>
      </c>
      <c r="L113" s="57" t="s">
        <v>695</v>
      </c>
      <c r="M113" s="56" t="s">
        <v>843</v>
      </c>
      <c r="N113" s="73" t="e">
        <f>VLOOKUP(Table1[[#This Row],[Project Code]],'[6]Combined Nov''25'!$E:$K,7,FALSE)</f>
        <v>#N/A</v>
      </c>
      <c r="O113" s="57" t="s">
        <v>863</v>
      </c>
      <c r="P113" s="56" t="s">
        <v>864</v>
      </c>
      <c r="Q113" s="57" t="s">
        <v>886</v>
      </c>
      <c r="T113" s="57" t="e">
        <f>VLOOKUP(Table1[[#This Row],[Project Code]],'[6]Combined Nov''25'!$E:$P,12,FALSE)</f>
        <v>#N/A</v>
      </c>
      <c r="U113" s="57" t="e">
        <v>#N/A</v>
      </c>
      <c r="V113" s="56" t="e">
        <v>#N/A</v>
      </c>
      <c r="W113" s="60" t="e">
        <v>#N/A</v>
      </c>
      <c r="X113" s="56" t="s">
        <v>1489</v>
      </c>
      <c r="Y113" s="56" t="s">
        <v>1491</v>
      </c>
      <c r="Z113" s="56" t="s">
        <v>1490</v>
      </c>
      <c r="AA113" s="56" t="s">
        <v>1490</v>
      </c>
      <c r="AB113" s="56" t="s">
        <v>1490</v>
      </c>
      <c r="AC113" s="56" t="s">
        <v>1490</v>
      </c>
      <c r="AD113" s="56" t="s">
        <v>1490</v>
      </c>
      <c r="AE113" s="56" t="s">
        <v>1490</v>
      </c>
      <c r="AF113" s="56" t="s">
        <v>1490</v>
      </c>
      <c r="AG113" s="56" t="s">
        <v>1490</v>
      </c>
      <c r="AH113" s="56" t="s">
        <v>1490</v>
      </c>
      <c r="AI113" s="56" t="s">
        <v>1490</v>
      </c>
      <c r="AJ113" s="56" t="s">
        <v>1490</v>
      </c>
      <c r="AK113" s="56" t="s">
        <v>1490</v>
      </c>
    </row>
    <row r="114" spans="1:37" s="56" customFormat="1" ht="30" customHeight="1" x14ac:dyDescent="0.25">
      <c r="A114" s="56">
        <v>113</v>
      </c>
      <c r="B114" s="57" t="s">
        <v>144</v>
      </c>
      <c r="C114" s="57" t="s">
        <v>435</v>
      </c>
      <c r="H114" s="58"/>
      <c r="I114" s="59"/>
      <c r="J114" s="59" t="e">
        <f>VLOOKUP(Table1[[#This Row],[Project Code]],'[6]Combined Nov''25'!$E:$O,10,FALSE)</f>
        <v>#N/A</v>
      </c>
      <c r="K114" s="69" t="e">
        <f>VLOOKUP(Table1[[#This Row],[Project Code]],'[6]Combined Nov''25'!$E:$K,6,FALSE)</f>
        <v>#N/A</v>
      </c>
      <c r="L114" s="57" t="s">
        <v>765</v>
      </c>
      <c r="M114" s="56" t="s">
        <v>843</v>
      </c>
      <c r="N114" s="73" t="e">
        <f>VLOOKUP(Table1[[#This Row],[Project Code]],'[6]Combined Nov''25'!$E:$K,7,FALSE)</f>
        <v>#N/A</v>
      </c>
      <c r="O114" s="57" t="s">
        <v>862</v>
      </c>
      <c r="P114" s="56" t="s">
        <v>864</v>
      </c>
      <c r="Q114" s="57" t="s">
        <v>887</v>
      </c>
      <c r="T114" s="57" t="e">
        <f>VLOOKUP(Table1[[#This Row],[Project Code]],'[6]Combined Nov''25'!$E:$P,12,FALSE)</f>
        <v>#N/A</v>
      </c>
      <c r="U114" s="57" t="e">
        <v>#N/A</v>
      </c>
      <c r="V114" s="56" t="e">
        <v>#N/A</v>
      </c>
      <c r="W114" s="60" t="e">
        <v>#N/A</v>
      </c>
      <c r="X114" s="56" t="s">
        <v>1489</v>
      </c>
      <c r="Y114" s="56" t="s">
        <v>1491</v>
      </c>
      <c r="Z114" s="56" t="s">
        <v>1490</v>
      </c>
      <c r="AA114" s="56" t="s">
        <v>1490</v>
      </c>
      <c r="AB114" s="56" t="s">
        <v>1490</v>
      </c>
      <c r="AC114" s="56" t="s">
        <v>1490</v>
      </c>
      <c r="AD114" s="56" t="s">
        <v>1490</v>
      </c>
      <c r="AE114" s="56" t="s">
        <v>1490</v>
      </c>
      <c r="AF114" s="56" t="s">
        <v>1490</v>
      </c>
      <c r="AG114" s="56" t="s">
        <v>1490</v>
      </c>
      <c r="AH114" s="56" t="s">
        <v>1490</v>
      </c>
      <c r="AI114" s="56" t="s">
        <v>1490</v>
      </c>
      <c r="AJ114" s="56" t="s">
        <v>1490</v>
      </c>
      <c r="AK114" s="56" t="s">
        <v>1490</v>
      </c>
    </row>
    <row r="115" spans="1:37" s="56" customFormat="1" ht="30" customHeight="1" x14ac:dyDescent="0.25">
      <c r="A115" s="56">
        <v>114</v>
      </c>
      <c r="B115" s="57" t="s">
        <v>145</v>
      </c>
      <c r="C115" s="57" t="s">
        <v>436</v>
      </c>
      <c r="H115" s="58"/>
      <c r="I115" s="59"/>
      <c r="J115" s="59" t="e">
        <f>VLOOKUP(Table1[[#This Row],[Project Code]],'[6]Combined Nov''25'!$E:$O,10,FALSE)</f>
        <v>#N/A</v>
      </c>
      <c r="K115" s="69" t="e">
        <f>VLOOKUP(Table1[[#This Row],[Project Code]],'[6]Combined Nov''25'!$E:$K,6,FALSE)</f>
        <v>#N/A</v>
      </c>
      <c r="L115" s="57" t="s">
        <v>802</v>
      </c>
      <c r="M115" s="56" t="s">
        <v>843</v>
      </c>
      <c r="N115" s="73" t="e">
        <f>VLOOKUP(Table1[[#This Row],[Project Code]],'[6]Combined Nov''25'!$E:$K,7,FALSE)</f>
        <v>#N/A</v>
      </c>
      <c r="O115" s="57" t="s">
        <v>858</v>
      </c>
      <c r="P115" s="56" t="s">
        <v>864</v>
      </c>
      <c r="Q115" s="57" t="s">
        <v>887</v>
      </c>
      <c r="T115" s="57" t="e">
        <f>VLOOKUP(Table1[[#This Row],[Project Code]],'[6]Combined Nov''25'!$E:$P,12,FALSE)</f>
        <v>#N/A</v>
      </c>
      <c r="U115" s="57" t="e">
        <v>#N/A</v>
      </c>
      <c r="V115" s="56" t="e">
        <v>#N/A</v>
      </c>
      <c r="W115" s="60" t="e">
        <v>#N/A</v>
      </c>
      <c r="X115" s="56" t="s">
        <v>1489</v>
      </c>
      <c r="Y115" s="56" t="s">
        <v>1489</v>
      </c>
      <c r="Z115" s="56" t="s">
        <v>1490</v>
      </c>
      <c r="AA115" s="56" t="s">
        <v>1490</v>
      </c>
      <c r="AB115" s="56" t="s">
        <v>1490</v>
      </c>
      <c r="AC115" s="56" t="s">
        <v>1490</v>
      </c>
      <c r="AD115" s="56" t="s">
        <v>1490</v>
      </c>
      <c r="AE115" s="56" t="s">
        <v>1490</v>
      </c>
      <c r="AF115" s="56" t="s">
        <v>1490</v>
      </c>
      <c r="AG115" s="56" t="s">
        <v>1490</v>
      </c>
      <c r="AH115" s="56" t="s">
        <v>1490</v>
      </c>
      <c r="AI115" s="56" t="s">
        <v>1490</v>
      </c>
      <c r="AJ115" s="56" t="s">
        <v>1490</v>
      </c>
      <c r="AK115" s="56" t="s">
        <v>1490</v>
      </c>
    </row>
    <row r="116" spans="1:37" s="56" customFormat="1" ht="30" customHeight="1" x14ac:dyDescent="0.25">
      <c r="A116" s="56">
        <v>115</v>
      </c>
      <c r="B116" s="57" t="s">
        <v>146</v>
      </c>
      <c r="C116" s="57" t="s">
        <v>437</v>
      </c>
      <c r="D116" s="56" t="s">
        <v>617</v>
      </c>
      <c r="E116" s="56" t="s">
        <v>638</v>
      </c>
      <c r="G116" s="56" t="s">
        <v>1492</v>
      </c>
      <c r="H116" s="58">
        <f>VLOOKUP(Table1[[#This Row],[Project Code]],'[2]Combined '!$E:$N,8,FALSE)</f>
        <v>44317</v>
      </c>
      <c r="I116" s="59"/>
      <c r="J116" s="59"/>
      <c r="K116" s="69" t="str">
        <f>VLOOKUP(Table1[[#This Row],[Project Code]],'[6]Combined Nov''25'!$E:$K,6,FALSE)</f>
        <v>FCI</v>
      </c>
      <c r="L116" s="57" t="s">
        <v>707</v>
      </c>
      <c r="M116" s="56" t="s">
        <v>847</v>
      </c>
      <c r="N116" s="56" t="s">
        <v>904</v>
      </c>
      <c r="O116" s="57" t="s">
        <v>860</v>
      </c>
      <c r="P116" s="56" t="s">
        <v>864</v>
      </c>
      <c r="Q116" s="57" t="s">
        <v>887</v>
      </c>
      <c r="T116" s="57" t="s">
        <v>952</v>
      </c>
      <c r="U116" s="57" t="s">
        <v>1116</v>
      </c>
      <c r="V116" s="56" t="s">
        <v>1057</v>
      </c>
      <c r="W116" s="60">
        <v>0</v>
      </c>
      <c r="X116" s="56" t="s">
        <v>1489</v>
      </c>
      <c r="Y116" s="56" t="s">
        <v>1491</v>
      </c>
      <c r="Z116" s="56" t="s">
        <v>1490</v>
      </c>
      <c r="AA116" s="56" t="s">
        <v>1490</v>
      </c>
      <c r="AB116" s="56" t="s">
        <v>1490</v>
      </c>
      <c r="AC116" s="56" t="s">
        <v>1490</v>
      </c>
      <c r="AD116" s="56" t="s">
        <v>1490</v>
      </c>
      <c r="AE116" s="56" t="s">
        <v>1490</v>
      </c>
      <c r="AF116" s="56" t="s">
        <v>1490</v>
      </c>
      <c r="AG116" s="56" t="s">
        <v>1490</v>
      </c>
      <c r="AH116" s="56" t="s">
        <v>1490</v>
      </c>
      <c r="AI116" s="56" t="s">
        <v>1490</v>
      </c>
      <c r="AJ116" s="56" t="s">
        <v>1490</v>
      </c>
      <c r="AK116" s="56" t="s">
        <v>1490</v>
      </c>
    </row>
    <row r="117" spans="1:37" s="56" customFormat="1" ht="30" customHeight="1" x14ac:dyDescent="0.25">
      <c r="A117" s="56">
        <v>116</v>
      </c>
      <c r="B117" s="57" t="s">
        <v>146</v>
      </c>
      <c r="C117" s="57" t="s">
        <v>438</v>
      </c>
      <c r="D117" s="56" t="s">
        <v>617</v>
      </c>
      <c r="E117" s="56" t="s">
        <v>638</v>
      </c>
      <c r="G117" s="56" t="s">
        <v>1492</v>
      </c>
      <c r="H117" s="58">
        <f>VLOOKUP(Table1[[#This Row],[Project Code]],'[2]Combined '!$E:$N,8,FALSE)</f>
        <v>44317</v>
      </c>
      <c r="I117" s="59"/>
      <c r="J117" s="59"/>
      <c r="K117" s="69" t="str">
        <f>VLOOKUP(Table1[[#This Row],[Project Code]],'[6]Combined Nov''25'!$E:$K,6,FALSE)</f>
        <v>FCI</v>
      </c>
      <c r="L117" s="57" t="s">
        <v>707</v>
      </c>
      <c r="M117" s="56" t="s">
        <v>847</v>
      </c>
      <c r="N117" s="56" t="s">
        <v>904</v>
      </c>
      <c r="O117" s="57" t="s">
        <v>860</v>
      </c>
      <c r="P117" s="56" t="s">
        <v>864</v>
      </c>
      <c r="Q117" s="57" t="s">
        <v>887</v>
      </c>
      <c r="T117" s="57" t="s">
        <v>952</v>
      </c>
      <c r="U117" s="57" t="s">
        <v>1116</v>
      </c>
      <c r="V117" s="56" t="s">
        <v>1057</v>
      </c>
      <c r="W117" s="60">
        <v>0</v>
      </c>
      <c r="X117" s="56" t="s">
        <v>1489</v>
      </c>
      <c r="Y117" s="56" t="s">
        <v>1489</v>
      </c>
      <c r="Z117" s="56" t="s">
        <v>1490</v>
      </c>
      <c r="AA117" s="56" t="s">
        <v>1490</v>
      </c>
      <c r="AB117" s="56" t="s">
        <v>1490</v>
      </c>
      <c r="AC117" s="56" t="s">
        <v>1490</v>
      </c>
      <c r="AD117" s="56" t="s">
        <v>1490</v>
      </c>
      <c r="AE117" s="56" t="s">
        <v>1490</v>
      </c>
      <c r="AF117" s="56" t="s">
        <v>1490</v>
      </c>
      <c r="AG117" s="56" t="s">
        <v>1490</v>
      </c>
      <c r="AH117" s="56" t="s">
        <v>1490</v>
      </c>
      <c r="AI117" s="56" t="s">
        <v>1490</v>
      </c>
      <c r="AJ117" s="56" t="s">
        <v>1490</v>
      </c>
      <c r="AK117" s="56" t="s">
        <v>1490</v>
      </c>
    </row>
    <row r="118" spans="1:37" s="56" customFormat="1" ht="30" customHeight="1" x14ac:dyDescent="0.25">
      <c r="A118" s="56">
        <v>117</v>
      </c>
      <c r="B118" s="57" t="s">
        <v>147</v>
      </c>
      <c r="C118" s="57" t="s">
        <v>439</v>
      </c>
      <c r="H118" s="58"/>
      <c r="I118" s="59"/>
      <c r="J118" s="59" t="e">
        <f>VLOOKUP(Table1[[#This Row],[Project Code]],'[6]Combined Nov''25'!$E:$O,10,FALSE)</f>
        <v>#N/A</v>
      </c>
      <c r="K118" s="69" t="e">
        <f>VLOOKUP(Table1[[#This Row],[Project Code]],'[6]Combined Nov''25'!$E:$K,6,FALSE)</f>
        <v>#N/A</v>
      </c>
      <c r="L118" s="57" t="s">
        <v>778</v>
      </c>
      <c r="M118" s="56" t="s">
        <v>843</v>
      </c>
      <c r="N118" s="73" t="e">
        <f>VLOOKUP(Table1[[#This Row],[Project Code]],'[6]Combined Nov''25'!$E:$K,7,FALSE)</f>
        <v>#N/A</v>
      </c>
      <c r="O118" s="57" t="s">
        <v>856</v>
      </c>
      <c r="P118" s="56" t="s">
        <v>864</v>
      </c>
      <c r="Q118" s="57" t="s">
        <v>886</v>
      </c>
      <c r="T118" s="57" t="e">
        <f>VLOOKUP(Table1[[#This Row],[Project Code]],'[6]Combined Nov''25'!$E:$P,12,FALSE)</f>
        <v>#N/A</v>
      </c>
      <c r="U118" s="57" t="e">
        <v>#N/A</v>
      </c>
      <c r="V118" s="56" t="e">
        <v>#N/A</v>
      </c>
      <c r="W118" s="60" t="e">
        <v>#N/A</v>
      </c>
      <c r="X118" s="56" t="s">
        <v>1489</v>
      </c>
      <c r="Y118" s="56" t="s">
        <v>1491</v>
      </c>
      <c r="Z118" s="56" t="s">
        <v>1490</v>
      </c>
      <c r="AA118" s="56" t="s">
        <v>1490</v>
      </c>
      <c r="AB118" s="56" t="s">
        <v>1490</v>
      </c>
      <c r="AC118" s="56" t="s">
        <v>1490</v>
      </c>
      <c r="AD118" s="56" t="s">
        <v>1490</v>
      </c>
      <c r="AE118" s="56" t="s">
        <v>1490</v>
      </c>
      <c r="AF118" s="56" t="s">
        <v>1490</v>
      </c>
      <c r="AG118" s="56" t="s">
        <v>1490</v>
      </c>
      <c r="AH118" s="56" t="s">
        <v>1490</v>
      </c>
      <c r="AI118" s="56" t="s">
        <v>1490</v>
      </c>
      <c r="AJ118" s="56" t="s">
        <v>1490</v>
      </c>
      <c r="AK118" s="56" t="s">
        <v>1490</v>
      </c>
    </row>
    <row r="119" spans="1:37" s="56" customFormat="1" ht="30" customHeight="1" x14ac:dyDescent="0.25">
      <c r="A119" s="56">
        <v>118</v>
      </c>
      <c r="B119" s="57" t="s">
        <v>148</v>
      </c>
      <c r="C119" s="57" t="s">
        <v>440</v>
      </c>
      <c r="H119" s="58"/>
      <c r="I119" s="59"/>
      <c r="J119" s="59" t="e">
        <f>VLOOKUP(Table1[[#This Row],[Project Code]],'[6]Combined Nov''25'!$E:$O,10,FALSE)</f>
        <v>#N/A</v>
      </c>
      <c r="K119" s="69" t="e">
        <f>VLOOKUP(Table1[[#This Row],[Project Code]],'[6]Combined Nov''25'!$E:$K,6,FALSE)</f>
        <v>#N/A</v>
      </c>
      <c r="L119" s="57" t="s">
        <v>696</v>
      </c>
      <c r="M119" s="56" t="s">
        <v>843</v>
      </c>
      <c r="N119" s="73" t="e">
        <f>VLOOKUP(Table1[[#This Row],[Project Code]],'[6]Combined Nov''25'!$E:$K,7,FALSE)</f>
        <v>#N/A</v>
      </c>
      <c r="O119" s="57" t="s">
        <v>859</v>
      </c>
      <c r="P119" s="56" t="s">
        <v>864</v>
      </c>
      <c r="Q119" s="57" t="s">
        <v>887</v>
      </c>
      <c r="T119" s="57" t="e">
        <f>VLOOKUP(Table1[[#This Row],[Project Code]],'[6]Combined Nov''25'!$E:$P,12,FALSE)</f>
        <v>#N/A</v>
      </c>
      <c r="U119" s="57" t="e">
        <v>#N/A</v>
      </c>
      <c r="V119" s="56" t="e">
        <v>#N/A</v>
      </c>
      <c r="W119" s="60" t="e">
        <v>#N/A</v>
      </c>
      <c r="X119" s="56" t="s">
        <v>1489</v>
      </c>
      <c r="Y119" s="56" t="s">
        <v>1491</v>
      </c>
      <c r="Z119" s="56" t="s">
        <v>1490</v>
      </c>
      <c r="AA119" s="56" t="s">
        <v>1490</v>
      </c>
      <c r="AB119" s="56" t="s">
        <v>1490</v>
      </c>
      <c r="AC119" s="56" t="s">
        <v>1490</v>
      </c>
      <c r="AD119" s="56" t="s">
        <v>1490</v>
      </c>
      <c r="AE119" s="56" t="s">
        <v>1490</v>
      </c>
      <c r="AF119" s="56" t="s">
        <v>1490</v>
      </c>
      <c r="AG119" s="56" t="s">
        <v>1490</v>
      </c>
      <c r="AH119" s="56" t="s">
        <v>1490</v>
      </c>
      <c r="AI119" s="56" t="s">
        <v>1490</v>
      </c>
      <c r="AJ119" s="56" t="s">
        <v>1490</v>
      </c>
      <c r="AK119" s="56" t="s">
        <v>1490</v>
      </c>
    </row>
    <row r="120" spans="1:37" s="56" customFormat="1" ht="30" customHeight="1" x14ac:dyDescent="0.25">
      <c r="A120" s="56">
        <v>119</v>
      </c>
      <c r="B120" s="57" t="s">
        <v>149</v>
      </c>
      <c r="C120" s="57" t="s">
        <v>441</v>
      </c>
      <c r="H120" s="58"/>
      <c r="I120" s="59"/>
      <c r="J120" s="59" t="e">
        <f>VLOOKUP(Table1[[#This Row],[Project Code]],'[6]Combined Nov''25'!$E:$O,10,FALSE)</f>
        <v>#N/A</v>
      </c>
      <c r="K120" s="57" t="s">
        <v>691</v>
      </c>
      <c r="L120" s="57" t="s">
        <v>766</v>
      </c>
      <c r="M120" s="56" t="s">
        <v>843</v>
      </c>
      <c r="N120" s="73" t="e">
        <f>VLOOKUP(Table1[[#This Row],[Project Code]],'[6]Combined Nov''25'!$E:$K,7,FALSE)</f>
        <v>#N/A</v>
      </c>
      <c r="O120" s="57" t="s">
        <v>856</v>
      </c>
      <c r="P120" s="56" t="s">
        <v>864</v>
      </c>
      <c r="Q120" s="57" t="s">
        <v>888</v>
      </c>
      <c r="T120" s="57" t="e">
        <f>VLOOKUP(Table1[[#This Row],[Project Code]],'[6]Combined Nov''25'!$E:$P,12,FALSE)</f>
        <v>#N/A</v>
      </c>
      <c r="U120" s="57" t="e">
        <v>#N/A</v>
      </c>
      <c r="V120" s="56" t="e">
        <v>#N/A</v>
      </c>
      <c r="W120" s="60" t="e">
        <v>#N/A</v>
      </c>
      <c r="X120" s="56" t="s">
        <v>1489</v>
      </c>
      <c r="Y120" s="56" t="s">
        <v>1491</v>
      </c>
      <c r="Z120" s="56" t="s">
        <v>1490</v>
      </c>
      <c r="AA120" s="56" t="s">
        <v>1490</v>
      </c>
      <c r="AB120" s="56" t="s">
        <v>1490</v>
      </c>
      <c r="AC120" s="56" t="s">
        <v>1490</v>
      </c>
      <c r="AD120" s="56" t="s">
        <v>1490</v>
      </c>
      <c r="AE120" s="56" t="s">
        <v>1490</v>
      </c>
      <c r="AF120" s="56" t="s">
        <v>1490</v>
      </c>
      <c r="AG120" s="56" t="s">
        <v>1490</v>
      </c>
      <c r="AH120" s="56" t="s">
        <v>1490</v>
      </c>
      <c r="AI120" s="56" t="s">
        <v>1490</v>
      </c>
      <c r="AJ120" s="56" t="s">
        <v>1490</v>
      </c>
      <c r="AK120" s="56" t="s">
        <v>1490</v>
      </c>
    </row>
    <row r="121" spans="1:37" s="56" customFormat="1" ht="30" customHeight="1" x14ac:dyDescent="0.25">
      <c r="A121" s="56">
        <v>120</v>
      </c>
      <c r="B121" s="57" t="s">
        <v>150</v>
      </c>
      <c r="C121" s="57" t="s">
        <v>442</v>
      </c>
      <c r="H121" s="58"/>
      <c r="I121" s="59"/>
      <c r="J121" s="59" t="e">
        <f>VLOOKUP(Table1[[#This Row],[Project Code]],'[6]Combined Nov''25'!$E:$O,10,FALSE)</f>
        <v>#N/A</v>
      </c>
      <c r="K121" s="69" t="e">
        <f>VLOOKUP(Table1[[#This Row],[Project Code]],'[6]Combined Nov''25'!$E:$K,6,FALSE)</f>
        <v>#N/A</v>
      </c>
      <c r="L121" s="57" t="s">
        <v>726</v>
      </c>
      <c r="M121" s="56" t="s">
        <v>843</v>
      </c>
      <c r="N121" s="73" t="e">
        <f>VLOOKUP(Table1[[#This Row],[Project Code]],'[6]Combined Nov''25'!$E:$K,7,FALSE)</f>
        <v>#N/A</v>
      </c>
      <c r="O121" s="57" t="s">
        <v>860</v>
      </c>
      <c r="P121" s="56" t="s">
        <v>864</v>
      </c>
      <c r="Q121" s="57" t="s">
        <v>887</v>
      </c>
      <c r="T121" s="57" t="e">
        <f>VLOOKUP(Table1[[#This Row],[Project Code]],'[6]Combined Nov''25'!$E:$P,12,FALSE)</f>
        <v>#N/A</v>
      </c>
      <c r="U121" s="57" t="e">
        <v>#N/A</v>
      </c>
      <c r="V121" s="56" t="e">
        <v>#N/A</v>
      </c>
      <c r="W121" s="60" t="e">
        <v>#N/A</v>
      </c>
      <c r="X121" s="56" t="s">
        <v>1489</v>
      </c>
      <c r="Y121" s="56" t="s">
        <v>1491</v>
      </c>
      <c r="Z121" s="56" t="s">
        <v>1490</v>
      </c>
      <c r="AA121" s="56" t="s">
        <v>1490</v>
      </c>
      <c r="AB121" s="56" t="s">
        <v>1490</v>
      </c>
      <c r="AC121" s="56" t="s">
        <v>1490</v>
      </c>
      <c r="AD121" s="56" t="s">
        <v>1490</v>
      </c>
      <c r="AE121" s="56" t="s">
        <v>1490</v>
      </c>
      <c r="AF121" s="56" t="s">
        <v>1490</v>
      </c>
      <c r="AG121" s="56" t="s">
        <v>1490</v>
      </c>
      <c r="AH121" s="56" t="s">
        <v>1490</v>
      </c>
      <c r="AI121" s="56" t="s">
        <v>1490</v>
      </c>
      <c r="AJ121" s="56" t="s">
        <v>1490</v>
      </c>
      <c r="AK121" s="56" t="s">
        <v>1490</v>
      </c>
    </row>
    <row r="122" spans="1:37" s="56" customFormat="1" ht="30" customHeight="1" x14ac:dyDescent="0.25">
      <c r="A122" s="56">
        <v>121</v>
      </c>
      <c r="B122" s="57" t="s">
        <v>151</v>
      </c>
      <c r="C122" s="57" t="s">
        <v>443</v>
      </c>
      <c r="H122" s="58"/>
      <c r="I122" s="59"/>
      <c r="J122" s="59" t="e">
        <f>VLOOKUP(Table1[[#This Row],[Project Code]],'[6]Combined Nov''25'!$E:$O,10,FALSE)</f>
        <v>#N/A</v>
      </c>
      <c r="K122" s="69" t="e">
        <f>VLOOKUP(Table1[[#This Row],[Project Code]],'[6]Combined Nov''25'!$E:$K,6,FALSE)</f>
        <v>#N/A</v>
      </c>
      <c r="L122" s="57" t="s">
        <v>813</v>
      </c>
      <c r="M122" s="56" t="s">
        <v>850</v>
      </c>
      <c r="N122" s="73" t="e">
        <f>VLOOKUP(Table1[[#This Row],[Project Code]],'[6]Combined Nov''25'!$E:$K,7,FALSE)</f>
        <v>#N/A</v>
      </c>
      <c r="O122" s="57" t="s">
        <v>861</v>
      </c>
      <c r="P122" s="56" t="s">
        <v>876</v>
      </c>
      <c r="Q122" s="57" t="s">
        <v>887</v>
      </c>
      <c r="T122" s="57" t="e">
        <f>VLOOKUP(Table1[[#This Row],[Project Code]],'[6]Combined Nov''25'!$E:$P,12,FALSE)</f>
        <v>#N/A</v>
      </c>
      <c r="U122" s="57" t="e">
        <v>#N/A</v>
      </c>
      <c r="V122" s="56" t="e">
        <v>#N/A</v>
      </c>
      <c r="W122" s="60" t="e">
        <v>#N/A</v>
      </c>
      <c r="X122" s="56" t="s">
        <v>1489</v>
      </c>
      <c r="Y122" s="56" t="s">
        <v>1491</v>
      </c>
      <c r="Z122" s="56" t="s">
        <v>1490</v>
      </c>
      <c r="AA122" s="56" t="s">
        <v>1490</v>
      </c>
      <c r="AB122" s="56" t="s">
        <v>1490</v>
      </c>
      <c r="AC122" s="56" t="s">
        <v>1490</v>
      </c>
      <c r="AD122" s="56" t="s">
        <v>1490</v>
      </c>
      <c r="AE122" s="56" t="s">
        <v>1490</v>
      </c>
      <c r="AF122" s="56" t="s">
        <v>1490</v>
      </c>
      <c r="AG122" s="56" t="s">
        <v>1490</v>
      </c>
      <c r="AH122" s="56" t="s">
        <v>1490</v>
      </c>
      <c r="AI122" s="56" t="s">
        <v>1490</v>
      </c>
      <c r="AJ122" s="56" t="s">
        <v>1490</v>
      </c>
      <c r="AK122" s="56" t="s">
        <v>1490</v>
      </c>
    </row>
    <row r="123" spans="1:37" s="56" customFormat="1" ht="30" customHeight="1" x14ac:dyDescent="0.25">
      <c r="A123" s="56">
        <v>122</v>
      </c>
      <c r="B123" s="57" t="s">
        <v>152</v>
      </c>
      <c r="C123" s="57" t="s">
        <v>444</v>
      </c>
      <c r="H123" s="58"/>
      <c r="I123" s="59"/>
      <c r="J123" s="59" t="e">
        <f>VLOOKUP(Table1[[#This Row],[Project Code]],'[6]Combined Nov''25'!$E:$O,10,FALSE)</f>
        <v>#N/A</v>
      </c>
      <c r="K123" s="57" t="s">
        <v>692</v>
      </c>
      <c r="L123" s="57" t="s">
        <v>778</v>
      </c>
      <c r="M123" s="56" t="s">
        <v>843</v>
      </c>
      <c r="N123" s="73" t="e">
        <f>VLOOKUP(Table1[[#This Row],[Project Code]],'[6]Combined Nov''25'!$E:$K,7,FALSE)</f>
        <v>#N/A</v>
      </c>
      <c r="O123" s="57" t="s">
        <v>857</v>
      </c>
      <c r="P123" s="56" t="s">
        <v>864</v>
      </c>
      <c r="Q123" s="57" t="s">
        <v>887</v>
      </c>
      <c r="T123" s="57" t="e">
        <f>VLOOKUP(Table1[[#This Row],[Project Code]],'[6]Combined Nov''25'!$E:$P,12,FALSE)</f>
        <v>#N/A</v>
      </c>
      <c r="U123" s="57" t="e">
        <v>#N/A</v>
      </c>
      <c r="V123" s="56" t="e">
        <v>#N/A</v>
      </c>
      <c r="W123" s="60" t="e">
        <v>#N/A</v>
      </c>
      <c r="X123" s="56" t="s">
        <v>1489</v>
      </c>
      <c r="Y123" s="56" t="s">
        <v>1489</v>
      </c>
      <c r="Z123" s="56" t="s">
        <v>1490</v>
      </c>
      <c r="AA123" s="56" t="s">
        <v>1490</v>
      </c>
      <c r="AB123" s="56" t="s">
        <v>1490</v>
      </c>
      <c r="AC123" s="56" t="s">
        <v>1490</v>
      </c>
      <c r="AD123" s="56" t="s">
        <v>1490</v>
      </c>
      <c r="AE123" s="56" t="s">
        <v>1490</v>
      </c>
      <c r="AF123" s="56" t="s">
        <v>1490</v>
      </c>
      <c r="AG123" s="56" t="s">
        <v>1490</v>
      </c>
      <c r="AH123" s="56" t="s">
        <v>1490</v>
      </c>
      <c r="AI123" s="56" t="s">
        <v>1490</v>
      </c>
      <c r="AJ123" s="56" t="s">
        <v>1490</v>
      </c>
      <c r="AK123" s="56" t="s">
        <v>1490</v>
      </c>
    </row>
    <row r="124" spans="1:37" s="56" customFormat="1" ht="30" customHeight="1" x14ac:dyDescent="0.25">
      <c r="A124" s="56">
        <v>123</v>
      </c>
      <c r="B124" s="57" t="s">
        <v>153</v>
      </c>
      <c r="C124" s="57" t="s">
        <v>445</v>
      </c>
      <c r="H124" s="58"/>
      <c r="I124" s="59"/>
      <c r="J124" s="59" t="e">
        <f>VLOOKUP(Table1[[#This Row],[Project Code]],'[6]Combined Nov''25'!$E:$O,10,FALSE)</f>
        <v>#N/A</v>
      </c>
      <c r="K124" s="57" t="s">
        <v>681</v>
      </c>
      <c r="L124" s="57"/>
      <c r="M124" s="56" t="s">
        <v>843</v>
      </c>
      <c r="N124" s="73" t="e">
        <f>VLOOKUP(Table1[[#This Row],[Project Code]],'[6]Combined Nov''25'!$E:$K,7,FALSE)</f>
        <v>#N/A</v>
      </c>
      <c r="O124" s="57" t="s">
        <v>855</v>
      </c>
      <c r="P124" s="56" t="s">
        <v>864</v>
      </c>
      <c r="Q124" s="57" t="s">
        <v>855</v>
      </c>
      <c r="T124" s="57" t="e">
        <f>VLOOKUP(Table1[[#This Row],[Project Code]],'[6]Combined Nov''25'!$E:$P,12,FALSE)</f>
        <v>#N/A</v>
      </c>
      <c r="U124" s="57" t="e">
        <v>#N/A</v>
      </c>
      <c r="V124" s="56" t="e">
        <v>#N/A</v>
      </c>
      <c r="W124" s="60" t="e">
        <v>#N/A</v>
      </c>
      <c r="X124" s="56" t="s">
        <v>1489</v>
      </c>
      <c r="Y124" s="56" t="s">
        <v>1491</v>
      </c>
      <c r="Z124" s="56" t="s">
        <v>1490</v>
      </c>
      <c r="AA124" s="56" t="s">
        <v>1490</v>
      </c>
      <c r="AB124" s="56" t="s">
        <v>1490</v>
      </c>
      <c r="AC124" s="56" t="s">
        <v>1490</v>
      </c>
      <c r="AD124" s="56" t="s">
        <v>1490</v>
      </c>
      <c r="AE124" s="56" t="s">
        <v>1490</v>
      </c>
      <c r="AF124" s="56" t="s">
        <v>1490</v>
      </c>
      <c r="AG124" s="56" t="s">
        <v>1490</v>
      </c>
      <c r="AH124" s="56" t="s">
        <v>1490</v>
      </c>
      <c r="AI124" s="56" t="s">
        <v>1490</v>
      </c>
      <c r="AJ124" s="56" t="s">
        <v>1490</v>
      </c>
      <c r="AK124" s="56" t="s">
        <v>1490</v>
      </c>
    </row>
    <row r="125" spans="1:37" s="56" customFormat="1" ht="30" customHeight="1" x14ac:dyDescent="0.25">
      <c r="A125" s="56">
        <v>124</v>
      </c>
      <c r="B125" s="57" t="s">
        <v>154</v>
      </c>
      <c r="C125" s="57" t="s">
        <v>446</v>
      </c>
      <c r="H125" s="58"/>
      <c r="I125" s="59"/>
      <c r="J125" s="59" t="e">
        <f>VLOOKUP(Table1[[#This Row],[Project Code]],'[6]Combined Nov''25'!$E:$O,10,FALSE)</f>
        <v>#N/A</v>
      </c>
      <c r="K125" s="57" t="s">
        <v>691</v>
      </c>
      <c r="L125" s="57" t="s">
        <v>766</v>
      </c>
      <c r="M125" s="56" t="s">
        <v>843</v>
      </c>
      <c r="N125" s="73" t="e">
        <f>VLOOKUP(Table1[[#This Row],[Project Code]],'[6]Combined Nov''25'!$E:$K,7,FALSE)</f>
        <v>#N/A</v>
      </c>
      <c r="O125" s="57" t="s">
        <v>860</v>
      </c>
      <c r="P125" s="56" t="s">
        <v>864</v>
      </c>
      <c r="Q125" s="57" t="s">
        <v>887</v>
      </c>
      <c r="T125" s="57" t="e">
        <f>VLOOKUP(Table1[[#This Row],[Project Code]],'[6]Combined Nov''25'!$E:$P,12,FALSE)</f>
        <v>#N/A</v>
      </c>
      <c r="U125" s="57" t="e">
        <v>#N/A</v>
      </c>
      <c r="V125" s="56" t="e">
        <v>#N/A</v>
      </c>
      <c r="W125" s="60" t="e">
        <v>#N/A</v>
      </c>
      <c r="X125" s="56" t="s">
        <v>1489</v>
      </c>
      <c r="Y125" s="56" t="s">
        <v>1491</v>
      </c>
      <c r="Z125" s="56" t="s">
        <v>1490</v>
      </c>
      <c r="AA125" s="56" t="s">
        <v>1490</v>
      </c>
      <c r="AB125" s="56" t="s">
        <v>1490</v>
      </c>
      <c r="AC125" s="56" t="s">
        <v>1490</v>
      </c>
      <c r="AD125" s="56" t="s">
        <v>1490</v>
      </c>
      <c r="AE125" s="56" t="s">
        <v>1490</v>
      </c>
      <c r="AF125" s="56" t="s">
        <v>1490</v>
      </c>
      <c r="AG125" s="56" t="s">
        <v>1490</v>
      </c>
      <c r="AH125" s="56" t="s">
        <v>1490</v>
      </c>
      <c r="AI125" s="56" t="s">
        <v>1490</v>
      </c>
      <c r="AJ125" s="56" t="s">
        <v>1490</v>
      </c>
      <c r="AK125" s="56" t="s">
        <v>1490</v>
      </c>
    </row>
    <row r="126" spans="1:37" s="56" customFormat="1" ht="30" customHeight="1" x14ac:dyDescent="0.25">
      <c r="A126" s="56">
        <v>125</v>
      </c>
      <c r="B126" s="57" t="s">
        <v>155</v>
      </c>
      <c r="C126" s="57" t="s">
        <v>447</v>
      </c>
      <c r="H126" s="58"/>
      <c r="I126" s="59"/>
      <c r="J126" s="59" t="e">
        <f>VLOOKUP(Table1[[#This Row],[Project Code]],'[6]Combined Nov''25'!$E:$O,10,FALSE)</f>
        <v>#N/A</v>
      </c>
      <c r="K126" s="69" t="e">
        <f>VLOOKUP(Table1[[#This Row],[Project Code]],'[6]Combined Nov''25'!$E:$K,6,FALSE)</f>
        <v>#N/A</v>
      </c>
      <c r="L126" s="57" t="s">
        <v>696</v>
      </c>
      <c r="M126" s="56" t="s">
        <v>843</v>
      </c>
      <c r="N126" s="73" t="e">
        <f>VLOOKUP(Table1[[#This Row],[Project Code]],'[6]Combined Nov''25'!$E:$K,7,FALSE)</f>
        <v>#N/A</v>
      </c>
      <c r="O126" s="57" t="s">
        <v>863</v>
      </c>
      <c r="P126" s="56" t="s">
        <v>864</v>
      </c>
      <c r="Q126" s="57" t="s">
        <v>887</v>
      </c>
      <c r="T126" s="57" t="e">
        <f>VLOOKUP(Table1[[#This Row],[Project Code]],'[6]Combined Nov''25'!$E:$P,12,FALSE)</f>
        <v>#N/A</v>
      </c>
      <c r="U126" s="57" t="e">
        <v>#N/A</v>
      </c>
      <c r="V126" s="56" t="e">
        <v>#N/A</v>
      </c>
      <c r="W126" s="60" t="e">
        <v>#N/A</v>
      </c>
      <c r="X126" s="56" t="s">
        <v>1489</v>
      </c>
      <c r="Y126" s="56" t="s">
        <v>1491</v>
      </c>
      <c r="Z126" s="56" t="s">
        <v>1490</v>
      </c>
      <c r="AA126" s="56" t="s">
        <v>1490</v>
      </c>
      <c r="AB126" s="56" t="s">
        <v>1490</v>
      </c>
      <c r="AC126" s="56" t="s">
        <v>1490</v>
      </c>
      <c r="AD126" s="56" t="s">
        <v>1490</v>
      </c>
      <c r="AE126" s="56" t="s">
        <v>1490</v>
      </c>
      <c r="AF126" s="56" t="s">
        <v>1490</v>
      </c>
      <c r="AG126" s="56" t="s">
        <v>1490</v>
      </c>
      <c r="AH126" s="56" t="s">
        <v>1490</v>
      </c>
      <c r="AI126" s="56" t="s">
        <v>1490</v>
      </c>
      <c r="AJ126" s="56" t="s">
        <v>1490</v>
      </c>
      <c r="AK126" s="56" t="s">
        <v>1490</v>
      </c>
    </row>
    <row r="127" spans="1:37" s="56" customFormat="1" ht="30" customHeight="1" x14ac:dyDescent="0.25">
      <c r="A127" s="56">
        <v>126</v>
      </c>
      <c r="B127" s="57" t="s">
        <v>156</v>
      </c>
      <c r="C127" s="57" t="s">
        <v>448</v>
      </c>
      <c r="H127" s="58"/>
      <c r="I127" s="59"/>
      <c r="J127" s="59" t="e">
        <f>VLOOKUP(Table1[[#This Row],[Project Code]],'[6]Combined Nov''25'!$E:$O,10,FALSE)</f>
        <v>#N/A</v>
      </c>
      <c r="K127" s="69" t="e">
        <f>VLOOKUP(Table1[[#This Row],[Project Code]],'[6]Combined Nov''25'!$E:$K,6,FALSE)</f>
        <v>#N/A</v>
      </c>
      <c r="L127" s="57" t="s">
        <v>807</v>
      </c>
      <c r="M127" s="56" t="s">
        <v>844</v>
      </c>
      <c r="N127" s="73" t="e">
        <f>VLOOKUP(Table1[[#This Row],[Project Code]],'[6]Combined Nov''25'!$E:$K,7,FALSE)</f>
        <v>#N/A</v>
      </c>
      <c r="O127" s="57" t="s">
        <v>863</v>
      </c>
      <c r="P127" s="56" t="s">
        <v>876</v>
      </c>
      <c r="Q127" s="57" t="s">
        <v>887</v>
      </c>
      <c r="T127" s="57" t="e">
        <f>VLOOKUP(Table1[[#This Row],[Project Code]],'[6]Combined Nov''25'!$E:$P,12,FALSE)</f>
        <v>#N/A</v>
      </c>
      <c r="U127" s="57" t="e">
        <v>#N/A</v>
      </c>
      <c r="V127" s="56" t="e">
        <v>#N/A</v>
      </c>
      <c r="W127" s="60" t="e">
        <v>#N/A</v>
      </c>
      <c r="X127" s="56" t="s">
        <v>1489</v>
      </c>
      <c r="Y127" s="56" t="s">
        <v>1489</v>
      </c>
      <c r="Z127" s="56" t="s">
        <v>1490</v>
      </c>
      <c r="AA127" s="56" t="s">
        <v>1490</v>
      </c>
      <c r="AB127" s="56" t="s">
        <v>1490</v>
      </c>
      <c r="AC127" s="56" t="s">
        <v>1490</v>
      </c>
      <c r="AD127" s="56" t="s">
        <v>1490</v>
      </c>
      <c r="AE127" s="56" t="s">
        <v>1490</v>
      </c>
      <c r="AF127" s="56" t="s">
        <v>1490</v>
      </c>
      <c r="AG127" s="56" t="s">
        <v>1490</v>
      </c>
      <c r="AH127" s="56" t="s">
        <v>1490</v>
      </c>
      <c r="AI127" s="56" t="s">
        <v>1490</v>
      </c>
      <c r="AJ127" s="56" t="s">
        <v>1490</v>
      </c>
      <c r="AK127" s="56" t="s">
        <v>1490</v>
      </c>
    </row>
    <row r="128" spans="1:37" s="56" customFormat="1" ht="30" customHeight="1" x14ac:dyDescent="0.25">
      <c r="A128" s="56">
        <v>127</v>
      </c>
      <c r="B128" s="57" t="s">
        <v>157</v>
      </c>
      <c r="C128" s="57" t="s">
        <v>449</v>
      </c>
      <c r="H128" s="58"/>
      <c r="I128" s="59"/>
      <c r="J128" s="59" t="e">
        <f>VLOOKUP(Table1[[#This Row],[Project Code]],'[6]Combined Nov''25'!$E:$O,10,FALSE)</f>
        <v>#N/A</v>
      </c>
      <c r="K128" s="69" t="e">
        <f>VLOOKUP(Table1[[#This Row],[Project Code]],'[6]Combined Nov''25'!$E:$K,6,FALSE)</f>
        <v>#N/A</v>
      </c>
      <c r="L128" s="57" t="s">
        <v>784</v>
      </c>
      <c r="M128" s="56" t="s">
        <v>843</v>
      </c>
      <c r="N128" s="73" t="e">
        <f>VLOOKUP(Table1[[#This Row],[Project Code]],'[6]Combined Nov''25'!$E:$K,7,FALSE)</f>
        <v>#N/A</v>
      </c>
      <c r="O128" s="57" t="s">
        <v>863</v>
      </c>
      <c r="P128" s="56" t="s">
        <v>864</v>
      </c>
      <c r="Q128" s="57" t="s">
        <v>886</v>
      </c>
      <c r="T128" s="57" t="e">
        <f>VLOOKUP(Table1[[#This Row],[Project Code]],'[6]Combined Nov''25'!$E:$P,12,FALSE)</f>
        <v>#N/A</v>
      </c>
      <c r="U128" s="57" t="e">
        <v>#N/A</v>
      </c>
      <c r="V128" s="56" t="e">
        <v>#N/A</v>
      </c>
      <c r="W128" s="60" t="e">
        <v>#N/A</v>
      </c>
      <c r="X128" s="56" t="s">
        <v>1489</v>
      </c>
      <c r="Y128" s="56" t="s">
        <v>1491</v>
      </c>
      <c r="Z128" s="56" t="s">
        <v>1490</v>
      </c>
      <c r="AA128" s="56" t="s">
        <v>1490</v>
      </c>
      <c r="AB128" s="56" t="s">
        <v>1490</v>
      </c>
      <c r="AC128" s="56" t="s">
        <v>1490</v>
      </c>
      <c r="AD128" s="56" t="s">
        <v>1490</v>
      </c>
      <c r="AE128" s="56" t="s">
        <v>1490</v>
      </c>
      <c r="AF128" s="56" t="s">
        <v>1490</v>
      </c>
      <c r="AG128" s="56" t="s">
        <v>1490</v>
      </c>
      <c r="AH128" s="56" t="s">
        <v>1490</v>
      </c>
      <c r="AI128" s="56" t="s">
        <v>1490</v>
      </c>
      <c r="AJ128" s="56" t="s">
        <v>1490</v>
      </c>
      <c r="AK128" s="56" t="s">
        <v>1490</v>
      </c>
    </row>
    <row r="129" spans="1:37" s="56" customFormat="1" ht="30" customHeight="1" x14ac:dyDescent="0.25">
      <c r="A129" s="56">
        <v>128</v>
      </c>
      <c r="B129" s="57" t="s">
        <v>158</v>
      </c>
      <c r="C129" s="57" t="s">
        <v>450</v>
      </c>
      <c r="D129" s="56" t="s">
        <v>621</v>
      </c>
      <c r="E129" s="56" t="s">
        <v>639</v>
      </c>
      <c r="G129" s="56" t="str">
        <f>VLOOKUP(Table1[[#This Row],[Project Code]],[1]Combined!$E:$I,5,FALSE)</f>
        <v>Completed</v>
      </c>
      <c r="H129" s="58">
        <f>VLOOKUP(Table1[[#This Row],[Project Code]],'[2]Combined '!$E:$N,8,FALSE)</f>
        <v>44401</v>
      </c>
      <c r="I129" s="59"/>
      <c r="J129" s="59"/>
      <c r="K129" s="69" t="s">
        <v>693</v>
      </c>
      <c r="L129" s="69" t="s">
        <v>814</v>
      </c>
      <c r="M129" s="73" t="s">
        <v>844</v>
      </c>
      <c r="N129" s="73" t="s">
        <v>905</v>
      </c>
      <c r="O129" s="69" t="s">
        <v>859</v>
      </c>
      <c r="P129" s="73" t="s">
        <v>877</v>
      </c>
      <c r="Q129" s="57" t="s">
        <v>887</v>
      </c>
      <c r="T129" s="57" t="s">
        <v>953</v>
      </c>
      <c r="U129" s="57" t="s">
        <v>1117</v>
      </c>
      <c r="V129" s="56" t="s">
        <v>1057</v>
      </c>
      <c r="W129" s="60">
        <v>9923200</v>
      </c>
      <c r="X129" s="56" t="s">
        <v>1489</v>
      </c>
      <c r="Y129" s="56" t="s">
        <v>1491</v>
      </c>
      <c r="Z129" s="56" t="s">
        <v>1490</v>
      </c>
      <c r="AA129" s="56" t="s">
        <v>1490</v>
      </c>
      <c r="AB129" s="56" t="s">
        <v>1490</v>
      </c>
      <c r="AC129" s="56" t="s">
        <v>1490</v>
      </c>
      <c r="AD129" s="56" t="s">
        <v>1490</v>
      </c>
      <c r="AE129" s="56" t="s">
        <v>1490</v>
      </c>
      <c r="AF129" s="56" t="s">
        <v>1490</v>
      </c>
      <c r="AG129" s="56" t="s">
        <v>1490</v>
      </c>
      <c r="AH129" s="56" t="s">
        <v>1490</v>
      </c>
      <c r="AI129" s="56" t="s">
        <v>1490</v>
      </c>
      <c r="AJ129" s="56" t="s">
        <v>1490</v>
      </c>
      <c r="AK129" s="56" t="s">
        <v>1490</v>
      </c>
    </row>
    <row r="130" spans="1:37" s="56" customFormat="1" ht="30" customHeight="1" x14ac:dyDescent="0.25">
      <c r="A130" s="56">
        <v>129</v>
      </c>
      <c r="B130" s="57" t="s">
        <v>159</v>
      </c>
      <c r="C130" s="57" t="s">
        <v>451</v>
      </c>
      <c r="D130" s="56" t="s">
        <v>620</v>
      </c>
      <c r="E130" s="56" t="s">
        <v>640</v>
      </c>
      <c r="G130" s="56" t="s">
        <v>1492</v>
      </c>
      <c r="H130" s="58"/>
      <c r="I130" s="59"/>
      <c r="J130" s="59"/>
      <c r="K130" s="69" t="str">
        <f>VLOOKUP(Table1[[#This Row],[Project Code]],'[6]Combined Nov''25'!$E:$K,6,FALSE)</f>
        <v>CBC</v>
      </c>
      <c r="L130" s="57" t="s">
        <v>581</v>
      </c>
      <c r="M130" s="56" t="s">
        <v>843</v>
      </c>
      <c r="N130" s="73">
        <f>VLOOKUP(Table1[[#This Row],[Project Code]],'[6]Combined Nov''25'!$E:$K,7,FALSE)</f>
        <v>0</v>
      </c>
      <c r="O130" s="57" t="s">
        <v>856</v>
      </c>
      <c r="P130" s="56" t="s">
        <v>864</v>
      </c>
      <c r="Q130" s="57" t="s">
        <v>886</v>
      </c>
      <c r="T130" s="57">
        <f>VLOOKUP(Table1[[#This Row],[Project Code]],'[6]Combined Nov''25'!$E:$P,12,FALSE)</f>
        <v>0</v>
      </c>
      <c r="U130" s="57">
        <v>0</v>
      </c>
      <c r="V130" s="56" t="s">
        <v>1057</v>
      </c>
      <c r="W130" s="60">
        <v>0</v>
      </c>
      <c r="X130" s="56" t="s">
        <v>1489</v>
      </c>
      <c r="Y130" s="56" t="s">
        <v>1489</v>
      </c>
      <c r="Z130" s="56" t="s">
        <v>1490</v>
      </c>
      <c r="AA130" s="56" t="s">
        <v>1490</v>
      </c>
      <c r="AB130" s="56" t="s">
        <v>1490</v>
      </c>
      <c r="AC130" s="56" t="s">
        <v>1490</v>
      </c>
      <c r="AD130" s="56" t="s">
        <v>1490</v>
      </c>
      <c r="AE130" s="56" t="s">
        <v>1490</v>
      </c>
      <c r="AF130" s="56" t="s">
        <v>1490</v>
      </c>
      <c r="AG130" s="56" t="s">
        <v>1490</v>
      </c>
      <c r="AH130" s="56" t="s">
        <v>1490</v>
      </c>
      <c r="AI130" s="56" t="s">
        <v>1490</v>
      </c>
      <c r="AJ130" s="56" t="s">
        <v>1490</v>
      </c>
      <c r="AK130" s="56" t="s">
        <v>1490</v>
      </c>
    </row>
    <row r="131" spans="1:37" s="56" customFormat="1" ht="30" customHeight="1" x14ac:dyDescent="0.25">
      <c r="A131" s="56">
        <v>130</v>
      </c>
      <c r="B131" s="57" t="s">
        <v>160</v>
      </c>
      <c r="C131" s="57" t="s">
        <v>452</v>
      </c>
      <c r="H131" s="58"/>
      <c r="I131" s="59"/>
      <c r="J131" s="59" t="e">
        <f>VLOOKUP(Table1[[#This Row],[Project Code]],'[6]Combined Nov''25'!$E:$O,10,FALSE)</f>
        <v>#N/A</v>
      </c>
      <c r="K131" s="69" t="e">
        <f>VLOOKUP(Table1[[#This Row],[Project Code]],'[6]Combined Nov''25'!$E:$K,6,FALSE)</f>
        <v>#N/A</v>
      </c>
      <c r="L131" s="57" t="s">
        <v>696</v>
      </c>
      <c r="M131" s="56" t="s">
        <v>843</v>
      </c>
      <c r="N131" s="73" t="e">
        <f>VLOOKUP(Table1[[#This Row],[Project Code]],'[6]Combined Nov''25'!$E:$K,7,FALSE)</f>
        <v>#N/A</v>
      </c>
      <c r="O131" s="57" t="s">
        <v>859</v>
      </c>
      <c r="P131" s="56" t="s">
        <v>864</v>
      </c>
      <c r="Q131" s="57" t="s">
        <v>887</v>
      </c>
      <c r="T131" s="57" t="e">
        <f>VLOOKUP(Table1[[#This Row],[Project Code]],'[6]Combined Nov''25'!$E:$P,12,FALSE)</f>
        <v>#N/A</v>
      </c>
      <c r="U131" s="57" t="e">
        <v>#N/A</v>
      </c>
      <c r="V131" s="56" t="e">
        <v>#N/A</v>
      </c>
      <c r="W131" s="60" t="e">
        <v>#N/A</v>
      </c>
      <c r="X131" s="56" t="s">
        <v>1489</v>
      </c>
      <c r="Y131" s="56" t="s">
        <v>1489</v>
      </c>
      <c r="Z131" s="56" t="s">
        <v>1490</v>
      </c>
      <c r="AA131" s="56" t="s">
        <v>1490</v>
      </c>
      <c r="AB131" s="56" t="s">
        <v>1490</v>
      </c>
      <c r="AC131" s="56" t="s">
        <v>1490</v>
      </c>
      <c r="AD131" s="56" t="s">
        <v>1490</v>
      </c>
      <c r="AE131" s="56" t="s">
        <v>1490</v>
      </c>
      <c r="AF131" s="56" t="s">
        <v>1490</v>
      </c>
      <c r="AG131" s="56" t="s">
        <v>1490</v>
      </c>
      <c r="AH131" s="56" t="s">
        <v>1490</v>
      </c>
      <c r="AI131" s="56" t="s">
        <v>1490</v>
      </c>
      <c r="AJ131" s="56" t="s">
        <v>1490</v>
      </c>
      <c r="AK131" s="56" t="s">
        <v>1490</v>
      </c>
    </row>
    <row r="132" spans="1:37" s="56" customFormat="1" ht="30" customHeight="1" x14ac:dyDescent="0.25">
      <c r="A132" s="56">
        <v>131</v>
      </c>
      <c r="B132" s="57" t="s">
        <v>161</v>
      </c>
      <c r="C132" s="57" t="s">
        <v>453</v>
      </c>
      <c r="H132" s="58"/>
      <c r="I132" s="59"/>
      <c r="J132" s="59" t="e">
        <f>VLOOKUP(Table1[[#This Row],[Project Code]],'[6]Combined Nov''25'!$E:$O,10,FALSE)</f>
        <v>#N/A</v>
      </c>
      <c r="K132" s="57" t="s">
        <v>681</v>
      </c>
      <c r="L132" s="57"/>
      <c r="M132" s="56" t="s">
        <v>843</v>
      </c>
      <c r="N132" s="73" t="e">
        <f>VLOOKUP(Table1[[#This Row],[Project Code]],'[6]Combined Nov''25'!$E:$K,7,FALSE)</f>
        <v>#N/A</v>
      </c>
      <c r="O132" s="57" t="s">
        <v>855</v>
      </c>
      <c r="P132" s="56" t="s">
        <v>864</v>
      </c>
      <c r="Q132" s="57" t="s">
        <v>855</v>
      </c>
      <c r="T132" s="57" t="e">
        <f>VLOOKUP(Table1[[#This Row],[Project Code]],'[6]Combined Nov''25'!$E:$P,12,FALSE)</f>
        <v>#N/A</v>
      </c>
      <c r="U132" s="57" t="e">
        <v>#N/A</v>
      </c>
      <c r="V132" s="56" t="e">
        <v>#N/A</v>
      </c>
      <c r="W132" s="60" t="e">
        <v>#N/A</v>
      </c>
      <c r="X132" s="56" t="s">
        <v>1489</v>
      </c>
      <c r="Y132" s="56" t="s">
        <v>1489</v>
      </c>
      <c r="Z132" s="56" t="s">
        <v>1490</v>
      </c>
      <c r="AA132" s="56" t="s">
        <v>1490</v>
      </c>
      <c r="AB132" s="56" t="s">
        <v>1490</v>
      </c>
      <c r="AC132" s="56" t="s">
        <v>1490</v>
      </c>
      <c r="AD132" s="56" t="s">
        <v>1490</v>
      </c>
      <c r="AE132" s="56" t="s">
        <v>1490</v>
      </c>
      <c r="AF132" s="56" t="s">
        <v>1490</v>
      </c>
      <c r="AG132" s="56" t="s">
        <v>1490</v>
      </c>
      <c r="AH132" s="56" t="s">
        <v>1490</v>
      </c>
      <c r="AI132" s="56" t="s">
        <v>1490</v>
      </c>
      <c r="AJ132" s="56" t="s">
        <v>1490</v>
      </c>
      <c r="AK132" s="56" t="s">
        <v>1490</v>
      </c>
    </row>
    <row r="133" spans="1:37" s="56" customFormat="1" ht="30" customHeight="1" x14ac:dyDescent="0.25">
      <c r="A133" s="56">
        <v>132</v>
      </c>
      <c r="B133" s="57" t="s">
        <v>162</v>
      </c>
      <c r="C133" s="57" t="s">
        <v>454</v>
      </c>
      <c r="H133" s="58"/>
      <c r="I133" s="59"/>
      <c r="J133" s="59" t="e">
        <f>VLOOKUP(Table1[[#This Row],[Project Code]],'[6]Combined Nov''25'!$E:$O,10,FALSE)</f>
        <v>#N/A</v>
      </c>
      <c r="K133" s="69" t="e">
        <f>VLOOKUP(Table1[[#This Row],[Project Code]],'[6]Combined Nov''25'!$E:$K,6,FALSE)</f>
        <v>#N/A</v>
      </c>
      <c r="L133" s="57" t="s">
        <v>810</v>
      </c>
      <c r="M133" s="56" t="s">
        <v>843</v>
      </c>
      <c r="N133" s="73" t="e">
        <f>VLOOKUP(Table1[[#This Row],[Project Code]],'[6]Combined Nov''25'!$E:$K,7,FALSE)</f>
        <v>#N/A</v>
      </c>
      <c r="O133" s="57" t="s">
        <v>863</v>
      </c>
      <c r="P133" s="56" t="s">
        <v>864</v>
      </c>
      <c r="Q133" s="57" t="s">
        <v>888</v>
      </c>
      <c r="T133" s="57" t="e">
        <f>VLOOKUP(Table1[[#This Row],[Project Code]],'[6]Combined Nov''25'!$E:$P,12,FALSE)</f>
        <v>#N/A</v>
      </c>
      <c r="U133" s="57" t="e">
        <v>#N/A</v>
      </c>
      <c r="V133" s="56" t="e">
        <v>#N/A</v>
      </c>
      <c r="W133" s="60" t="e">
        <v>#N/A</v>
      </c>
      <c r="X133" s="56" t="s">
        <v>1489</v>
      </c>
      <c r="Y133" s="56" t="s">
        <v>1491</v>
      </c>
      <c r="Z133" s="56" t="s">
        <v>1490</v>
      </c>
      <c r="AA133" s="56" t="s">
        <v>1490</v>
      </c>
      <c r="AB133" s="56" t="s">
        <v>1490</v>
      </c>
      <c r="AC133" s="56" t="s">
        <v>1490</v>
      </c>
      <c r="AD133" s="56" t="s">
        <v>1490</v>
      </c>
      <c r="AE133" s="56" t="s">
        <v>1490</v>
      </c>
      <c r="AF133" s="56" t="s">
        <v>1490</v>
      </c>
      <c r="AG133" s="56" t="s">
        <v>1490</v>
      </c>
      <c r="AH133" s="56" t="s">
        <v>1490</v>
      </c>
      <c r="AI133" s="56" t="s">
        <v>1490</v>
      </c>
      <c r="AJ133" s="56" t="s">
        <v>1490</v>
      </c>
      <c r="AK133" s="56" t="s">
        <v>1490</v>
      </c>
    </row>
    <row r="134" spans="1:37" s="56" customFormat="1" ht="30" customHeight="1" x14ac:dyDescent="0.25">
      <c r="A134" s="56">
        <v>133</v>
      </c>
      <c r="B134" s="57" t="s">
        <v>163</v>
      </c>
      <c r="C134" s="57" t="s">
        <v>455</v>
      </c>
      <c r="D134" s="56" t="s">
        <v>619</v>
      </c>
      <c r="E134" s="56" t="s">
        <v>632</v>
      </c>
      <c r="G134" s="56" t="str">
        <f>VLOOKUP(Table1[[#This Row],[Project Code]],[1]Combined!$E:$I,5,FALSE)</f>
        <v>Ongoing</v>
      </c>
      <c r="H134" s="58">
        <f>VLOOKUP(Table1[[#This Row],[Project Code]],'[2]Combined '!$E:$N,8,FALSE)</f>
        <v>45492</v>
      </c>
      <c r="I134" s="59"/>
      <c r="J134" s="59"/>
      <c r="K134" s="69" t="s">
        <v>694</v>
      </c>
      <c r="L134" s="69" t="s">
        <v>815</v>
      </c>
      <c r="M134" s="73" t="s">
        <v>847</v>
      </c>
      <c r="N134" s="73" t="s">
        <v>895</v>
      </c>
      <c r="O134" s="69" t="s">
        <v>861</v>
      </c>
      <c r="P134" s="73" t="s">
        <v>876</v>
      </c>
      <c r="Q134" s="57" t="s">
        <v>887</v>
      </c>
      <c r="T134" s="57" t="s">
        <v>954</v>
      </c>
      <c r="U134" s="57" t="s">
        <v>1118</v>
      </c>
      <c r="V134" s="56" t="s">
        <v>1057</v>
      </c>
      <c r="W134" s="60">
        <v>0</v>
      </c>
      <c r="X134" s="56" t="s">
        <v>1489</v>
      </c>
      <c r="Y134" s="56" t="s">
        <v>1491</v>
      </c>
      <c r="Z134" s="56" t="s">
        <v>1490</v>
      </c>
      <c r="AA134" s="56" t="s">
        <v>1490</v>
      </c>
      <c r="AB134" s="56" t="s">
        <v>1490</v>
      </c>
      <c r="AC134" s="56" t="s">
        <v>1490</v>
      </c>
      <c r="AD134" s="56" t="s">
        <v>1490</v>
      </c>
      <c r="AE134" s="56" t="s">
        <v>1490</v>
      </c>
      <c r="AF134" s="56" t="s">
        <v>1490</v>
      </c>
      <c r="AG134" s="56" t="s">
        <v>1490</v>
      </c>
      <c r="AH134" s="56" t="s">
        <v>1490</v>
      </c>
      <c r="AI134" s="56" t="s">
        <v>1490</v>
      </c>
      <c r="AJ134" s="56" t="s">
        <v>1490</v>
      </c>
      <c r="AK134" s="56" t="s">
        <v>1490</v>
      </c>
    </row>
    <row r="135" spans="1:37" s="56" customFormat="1" ht="30" customHeight="1" x14ac:dyDescent="0.25">
      <c r="A135" s="56">
        <v>134</v>
      </c>
      <c r="B135" s="57" t="s">
        <v>164</v>
      </c>
      <c r="C135" s="57" t="s">
        <v>456</v>
      </c>
      <c r="D135" s="56" t="s">
        <v>618</v>
      </c>
      <c r="E135" s="56" t="s">
        <v>641</v>
      </c>
      <c r="G135" s="56" t="str">
        <f>VLOOKUP(Table1[[#This Row],[Project Code]],[1]Combined!$E:$I,5,FALSE)</f>
        <v>Ongoing</v>
      </c>
      <c r="H135" s="58">
        <f>VLOOKUP(Table1[[#This Row],[Project Code]],'[2]Combined '!$E:$N,8,FALSE)</f>
        <v>44531</v>
      </c>
      <c r="I135" s="59"/>
      <c r="J135" s="59">
        <f>VLOOKUP(Table1[[#This Row],[Project Code]],'[6]Combined Nov''25'!$E:$O,10,FALSE)</f>
        <v>46112</v>
      </c>
      <c r="K135" s="69" t="str">
        <f>VLOOKUP(Table1[[#This Row],[Project Code]],'[6]Combined Nov''25'!$E:$K,6,FALSE)</f>
        <v>Department of Jal Shakti, HP</v>
      </c>
      <c r="L135" s="69" t="s">
        <v>816</v>
      </c>
      <c r="M135" s="73" t="s">
        <v>844</v>
      </c>
      <c r="N135" s="73" t="s">
        <v>906</v>
      </c>
      <c r="O135" s="69" t="s">
        <v>859</v>
      </c>
      <c r="P135" s="73" t="s">
        <v>878</v>
      </c>
      <c r="Q135" s="57" t="s">
        <v>887</v>
      </c>
      <c r="T135" s="57" t="s">
        <v>955</v>
      </c>
      <c r="U135" s="57" t="s">
        <v>1119</v>
      </c>
      <c r="V135" s="56" t="s">
        <v>1058</v>
      </c>
      <c r="W135" s="60">
        <v>39503868</v>
      </c>
      <c r="X135" s="56" t="s">
        <v>1489</v>
      </c>
      <c r="Y135" s="56" t="s">
        <v>1489</v>
      </c>
      <c r="Z135" s="56" t="s">
        <v>1490</v>
      </c>
      <c r="AA135" s="56" t="s">
        <v>1490</v>
      </c>
      <c r="AB135" s="56" t="s">
        <v>1490</v>
      </c>
      <c r="AC135" s="56" t="s">
        <v>1490</v>
      </c>
      <c r="AD135" s="56" t="s">
        <v>1490</v>
      </c>
      <c r="AE135" s="56" t="s">
        <v>1490</v>
      </c>
      <c r="AF135" s="56" t="s">
        <v>1490</v>
      </c>
      <c r="AG135" s="56" t="s">
        <v>1490</v>
      </c>
      <c r="AH135" s="56" t="s">
        <v>1490</v>
      </c>
      <c r="AI135" s="56" t="s">
        <v>1490</v>
      </c>
      <c r="AJ135" s="56" t="s">
        <v>1490</v>
      </c>
      <c r="AK135" s="56" t="s">
        <v>1490</v>
      </c>
    </row>
    <row r="136" spans="1:37" s="56" customFormat="1" ht="30" customHeight="1" x14ac:dyDescent="0.25">
      <c r="A136" s="56">
        <v>135</v>
      </c>
      <c r="B136" s="57" t="s">
        <v>165</v>
      </c>
      <c r="C136" s="57" t="s">
        <v>457</v>
      </c>
      <c r="H136" s="58"/>
      <c r="I136" s="59"/>
      <c r="J136" s="59" t="e">
        <f>VLOOKUP(Table1[[#This Row],[Project Code]],'[6]Combined Nov''25'!$E:$O,10,FALSE)</f>
        <v>#N/A</v>
      </c>
      <c r="K136" s="69" t="e">
        <f>VLOOKUP(Table1[[#This Row],[Project Code]],'[6]Combined Nov''25'!$E:$K,6,FALSE)</f>
        <v>#N/A</v>
      </c>
      <c r="L136" s="57" t="s">
        <v>696</v>
      </c>
      <c r="M136" s="56" t="s">
        <v>843</v>
      </c>
      <c r="N136" s="73" t="e">
        <f>VLOOKUP(Table1[[#This Row],[Project Code]],'[6]Combined Nov''25'!$E:$K,7,FALSE)</f>
        <v>#N/A</v>
      </c>
      <c r="O136" s="57" t="s">
        <v>859</v>
      </c>
      <c r="P136" s="56" t="s">
        <v>864</v>
      </c>
      <c r="Q136" s="57" t="s">
        <v>887</v>
      </c>
      <c r="T136" s="57" t="e">
        <f>VLOOKUP(Table1[[#This Row],[Project Code]],'[6]Combined Nov''25'!$E:$P,12,FALSE)</f>
        <v>#N/A</v>
      </c>
      <c r="U136" s="57" t="e">
        <v>#N/A</v>
      </c>
      <c r="V136" s="56" t="e">
        <v>#N/A</v>
      </c>
      <c r="W136" s="60" t="e">
        <v>#N/A</v>
      </c>
      <c r="X136" s="56" t="s">
        <v>1489</v>
      </c>
      <c r="Y136" s="56" t="s">
        <v>1489</v>
      </c>
      <c r="Z136" s="56" t="s">
        <v>1490</v>
      </c>
      <c r="AA136" s="56" t="s">
        <v>1490</v>
      </c>
      <c r="AB136" s="56" t="s">
        <v>1490</v>
      </c>
      <c r="AC136" s="56" t="s">
        <v>1490</v>
      </c>
      <c r="AD136" s="56" t="s">
        <v>1490</v>
      </c>
      <c r="AE136" s="56" t="s">
        <v>1490</v>
      </c>
      <c r="AF136" s="56" t="s">
        <v>1490</v>
      </c>
      <c r="AG136" s="56" t="s">
        <v>1490</v>
      </c>
      <c r="AH136" s="56" t="s">
        <v>1490</v>
      </c>
      <c r="AI136" s="56" t="s">
        <v>1490</v>
      </c>
      <c r="AJ136" s="56" t="s">
        <v>1490</v>
      </c>
      <c r="AK136" s="56" t="s">
        <v>1490</v>
      </c>
    </row>
    <row r="137" spans="1:37" s="56" customFormat="1" ht="30" customHeight="1" x14ac:dyDescent="0.25">
      <c r="A137" s="56">
        <v>136</v>
      </c>
      <c r="B137" s="57" t="s">
        <v>166</v>
      </c>
      <c r="C137" s="57" t="s">
        <v>458</v>
      </c>
      <c r="H137" s="58"/>
      <c r="I137" s="59"/>
      <c r="J137" s="59" t="e">
        <f>VLOOKUP(Table1[[#This Row],[Project Code]],'[6]Combined Nov''25'!$E:$O,10,FALSE)</f>
        <v>#N/A</v>
      </c>
      <c r="K137" s="57" t="s">
        <v>695</v>
      </c>
      <c r="L137" s="57" t="s">
        <v>817</v>
      </c>
      <c r="M137" s="56" t="s">
        <v>843</v>
      </c>
      <c r="N137" s="73" t="e">
        <f>VLOOKUP(Table1[[#This Row],[Project Code]],'[6]Combined Nov''25'!$E:$K,7,FALSE)</f>
        <v>#N/A</v>
      </c>
      <c r="O137" s="57" t="s">
        <v>863</v>
      </c>
      <c r="P137" s="56" t="s">
        <v>864</v>
      </c>
      <c r="Q137" s="57" t="s">
        <v>888</v>
      </c>
      <c r="T137" s="57" t="e">
        <f>VLOOKUP(Table1[[#This Row],[Project Code]],'[6]Combined Nov''25'!$E:$P,12,FALSE)</f>
        <v>#N/A</v>
      </c>
      <c r="U137" s="57" t="e">
        <v>#N/A</v>
      </c>
      <c r="V137" s="56" t="e">
        <v>#N/A</v>
      </c>
      <c r="W137" s="60" t="e">
        <v>#N/A</v>
      </c>
      <c r="X137" s="56" t="s">
        <v>1489</v>
      </c>
      <c r="Y137" s="56" t="s">
        <v>1489</v>
      </c>
      <c r="Z137" s="56" t="s">
        <v>1490</v>
      </c>
      <c r="AA137" s="56" t="s">
        <v>1490</v>
      </c>
      <c r="AB137" s="56" t="s">
        <v>1490</v>
      </c>
      <c r="AC137" s="56" t="s">
        <v>1490</v>
      </c>
      <c r="AD137" s="56" t="s">
        <v>1490</v>
      </c>
      <c r="AE137" s="56" t="s">
        <v>1490</v>
      </c>
      <c r="AF137" s="56" t="s">
        <v>1490</v>
      </c>
      <c r="AG137" s="56" t="s">
        <v>1490</v>
      </c>
      <c r="AH137" s="56" t="s">
        <v>1490</v>
      </c>
      <c r="AI137" s="56" t="s">
        <v>1490</v>
      </c>
      <c r="AJ137" s="56" t="s">
        <v>1490</v>
      </c>
      <c r="AK137" s="56" t="s">
        <v>1490</v>
      </c>
    </row>
    <row r="138" spans="1:37" s="56" customFormat="1" ht="30" customHeight="1" x14ac:dyDescent="0.25">
      <c r="A138" s="56">
        <v>137</v>
      </c>
      <c r="B138" s="57" t="s">
        <v>167</v>
      </c>
      <c r="C138" s="57" t="s">
        <v>459</v>
      </c>
      <c r="H138" s="58"/>
      <c r="I138" s="59"/>
      <c r="J138" s="59" t="e">
        <f>VLOOKUP(Table1[[#This Row],[Project Code]],'[6]Combined Nov''25'!$E:$O,10,FALSE)</f>
        <v>#N/A</v>
      </c>
      <c r="K138" s="57" t="s">
        <v>696</v>
      </c>
      <c r="L138" s="57" t="s">
        <v>696</v>
      </c>
      <c r="M138" s="56" t="s">
        <v>843</v>
      </c>
      <c r="N138" s="73" t="e">
        <f>VLOOKUP(Table1[[#This Row],[Project Code]],'[6]Combined Nov''25'!$E:$K,7,FALSE)</f>
        <v>#N/A</v>
      </c>
      <c r="O138" s="57" t="s">
        <v>859</v>
      </c>
      <c r="P138" s="56" t="s">
        <v>864</v>
      </c>
      <c r="Q138" s="57" t="s">
        <v>887</v>
      </c>
      <c r="T138" s="57" t="e">
        <f>VLOOKUP(Table1[[#This Row],[Project Code]],'[6]Combined Nov''25'!$E:$P,12,FALSE)</f>
        <v>#N/A</v>
      </c>
      <c r="U138" s="57" t="e">
        <v>#N/A</v>
      </c>
      <c r="V138" s="56" t="e">
        <v>#N/A</v>
      </c>
      <c r="W138" s="60" t="e">
        <v>#N/A</v>
      </c>
      <c r="X138" s="56" t="s">
        <v>1489</v>
      </c>
      <c r="Y138" s="56" t="s">
        <v>1489</v>
      </c>
      <c r="Z138" s="56" t="s">
        <v>1490</v>
      </c>
      <c r="AA138" s="56" t="s">
        <v>1490</v>
      </c>
      <c r="AB138" s="56" t="s">
        <v>1490</v>
      </c>
      <c r="AC138" s="56" t="s">
        <v>1490</v>
      </c>
      <c r="AD138" s="56" t="s">
        <v>1490</v>
      </c>
      <c r="AE138" s="56" t="s">
        <v>1490</v>
      </c>
      <c r="AF138" s="56" t="s">
        <v>1490</v>
      </c>
      <c r="AG138" s="56" t="s">
        <v>1490</v>
      </c>
      <c r="AH138" s="56" t="s">
        <v>1490</v>
      </c>
      <c r="AI138" s="56" t="s">
        <v>1490</v>
      </c>
      <c r="AJ138" s="56" t="s">
        <v>1490</v>
      </c>
      <c r="AK138" s="56" t="s">
        <v>1490</v>
      </c>
    </row>
    <row r="139" spans="1:37" s="56" customFormat="1" ht="30" customHeight="1" x14ac:dyDescent="0.25">
      <c r="A139" s="56">
        <v>138</v>
      </c>
      <c r="B139" s="57" t="s">
        <v>168</v>
      </c>
      <c r="C139" s="57" t="s">
        <v>460</v>
      </c>
      <c r="H139" s="58"/>
      <c r="I139" s="59"/>
      <c r="J139" s="59" t="e">
        <f>VLOOKUP(Table1[[#This Row],[Project Code]],'[6]Combined Nov''25'!$E:$O,10,FALSE)</f>
        <v>#N/A</v>
      </c>
      <c r="K139" s="57" t="s">
        <v>697</v>
      </c>
      <c r="L139" s="57" t="s">
        <v>697</v>
      </c>
      <c r="M139" s="56" t="s">
        <v>843</v>
      </c>
      <c r="N139" s="73" t="e">
        <f>VLOOKUP(Table1[[#This Row],[Project Code]],'[6]Combined Nov''25'!$E:$K,7,FALSE)</f>
        <v>#N/A</v>
      </c>
      <c r="O139" s="57" t="s">
        <v>863</v>
      </c>
      <c r="P139" s="56" t="s">
        <v>864</v>
      </c>
      <c r="Q139" s="57" t="s">
        <v>886</v>
      </c>
      <c r="T139" s="57" t="e">
        <f>VLOOKUP(Table1[[#This Row],[Project Code]],'[6]Combined Nov''25'!$E:$P,12,FALSE)</f>
        <v>#N/A</v>
      </c>
      <c r="U139" s="57" t="e">
        <v>#N/A</v>
      </c>
      <c r="V139" s="56" t="e">
        <v>#N/A</v>
      </c>
      <c r="W139" s="60" t="e">
        <v>#N/A</v>
      </c>
      <c r="X139" s="56" t="s">
        <v>1489</v>
      </c>
      <c r="Y139" s="56" t="s">
        <v>1491</v>
      </c>
      <c r="Z139" s="56" t="s">
        <v>1490</v>
      </c>
      <c r="AA139" s="56" t="s">
        <v>1490</v>
      </c>
      <c r="AB139" s="56" t="s">
        <v>1490</v>
      </c>
      <c r="AC139" s="56" t="s">
        <v>1490</v>
      </c>
      <c r="AD139" s="56" t="s">
        <v>1490</v>
      </c>
      <c r="AE139" s="56" t="s">
        <v>1490</v>
      </c>
      <c r="AF139" s="56" t="s">
        <v>1490</v>
      </c>
      <c r="AG139" s="56" t="s">
        <v>1490</v>
      </c>
      <c r="AH139" s="56" t="s">
        <v>1490</v>
      </c>
      <c r="AI139" s="56" t="s">
        <v>1490</v>
      </c>
      <c r="AJ139" s="56" t="s">
        <v>1490</v>
      </c>
      <c r="AK139" s="56" t="s">
        <v>1490</v>
      </c>
    </row>
    <row r="140" spans="1:37" s="56" customFormat="1" ht="30" customHeight="1" x14ac:dyDescent="0.25">
      <c r="A140" s="56">
        <v>139</v>
      </c>
      <c r="B140" s="57" t="s">
        <v>169</v>
      </c>
      <c r="C140" s="57" t="s">
        <v>461</v>
      </c>
      <c r="D140" s="56" t="s">
        <v>619</v>
      </c>
      <c r="E140" s="56" t="s">
        <v>629</v>
      </c>
      <c r="G140" s="56" t="s">
        <v>1492</v>
      </c>
      <c r="H140" s="58">
        <f>VLOOKUP(Table1[[#This Row],[Project Code]],'[2]Combined '!$E:$N,8,FALSE)</f>
        <v>44836</v>
      </c>
      <c r="I140" s="59"/>
      <c r="J140" s="59"/>
      <c r="K140" s="57" t="s">
        <v>698</v>
      </c>
      <c r="L140" s="57" t="s">
        <v>767</v>
      </c>
      <c r="M140" s="56" t="s">
        <v>849</v>
      </c>
      <c r="N140" s="56" t="s">
        <v>895</v>
      </c>
      <c r="O140" s="57" t="s">
        <v>861</v>
      </c>
      <c r="P140" s="56" t="s">
        <v>865</v>
      </c>
      <c r="Q140" s="57" t="s">
        <v>887</v>
      </c>
      <c r="T140" s="57" t="s">
        <v>956</v>
      </c>
      <c r="U140" s="57" t="s">
        <v>1120</v>
      </c>
      <c r="V140" s="56" t="s">
        <v>1057</v>
      </c>
      <c r="W140" s="60">
        <v>0</v>
      </c>
      <c r="X140" s="56" t="s">
        <v>1489</v>
      </c>
      <c r="Y140" s="56" t="s">
        <v>1491</v>
      </c>
      <c r="Z140" s="56" t="s">
        <v>1490</v>
      </c>
      <c r="AA140" s="56" t="s">
        <v>1490</v>
      </c>
      <c r="AB140" s="56" t="s">
        <v>1490</v>
      </c>
      <c r="AC140" s="56" t="s">
        <v>1490</v>
      </c>
      <c r="AD140" s="56" t="s">
        <v>1490</v>
      </c>
      <c r="AE140" s="56" t="s">
        <v>1490</v>
      </c>
      <c r="AF140" s="56" t="s">
        <v>1490</v>
      </c>
      <c r="AG140" s="56" t="s">
        <v>1490</v>
      </c>
      <c r="AH140" s="56" t="s">
        <v>1490</v>
      </c>
      <c r="AI140" s="56" t="s">
        <v>1490</v>
      </c>
      <c r="AJ140" s="56" t="s">
        <v>1490</v>
      </c>
      <c r="AK140" s="56" t="s">
        <v>1490</v>
      </c>
    </row>
    <row r="141" spans="1:37" s="56" customFormat="1" ht="30" customHeight="1" x14ac:dyDescent="0.25">
      <c r="A141" s="56">
        <v>140</v>
      </c>
      <c r="B141" s="57" t="s">
        <v>170</v>
      </c>
      <c r="C141" s="57" t="s">
        <v>462</v>
      </c>
      <c r="H141" s="58"/>
      <c r="I141" s="59"/>
      <c r="J141" s="59" t="e">
        <f>VLOOKUP(Table1[[#This Row],[Project Code]],'[6]Combined Nov''25'!$E:$O,10,FALSE)</f>
        <v>#N/A</v>
      </c>
      <c r="K141" s="57" t="s">
        <v>680</v>
      </c>
      <c r="L141" s="57" t="s">
        <v>691</v>
      </c>
      <c r="M141" s="56" t="s">
        <v>843</v>
      </c>
      <c r="N141" s="73" t="e">
        <f>VLOOKUP(Table1[[#This Row],[Project Code]],'[6]Combined Nov''25'!$E:$K,7,FALSE)</f>
        <v>#N/A</v>
      </c>
      <c r="O141" s="57" t="s">
        <v>863</v>
      </c>
      <c r="P141" s="56" t="s">
        <v>864</v>
      </c>
      <c r="Q141" s="57" t="s">
        <v>886</v>
      </c>
      <c r="T141" s="57" t="e">
        <f>VLOOKUP(Table1[[#This Row],[Project Code]],'[6]Combined Nov''25'!$E:$P,12,FALSE)</f>
        <v>#N/A</v>
      </c>
      <c r="U141" s="57" t="e">
        <v>#N/A</v>
      </c>
      <c r="V141" s="56" t="e">
        <v>#N/A</v>
      </c>
      <c r="W141" s="60" t="e">
        <v>#N/A</v>
      </c>
      <c r="X141" s="56" t="s">
        <v>1489</v>
      </c>
      <c r="Y141" s="56" t="s">
        <v>1491</v>
      </c>
      <c r="Z141" s="56" t="s">
        <v>1490</v>
      </c>
      <c r="AA141" s="56" t="s">
        <v>1490</v>
      </c>
      <c r="AB141" s="56" t="s">
        <v>1490</v>
      </c>
      <c r="AC141" s="56" t="s">
        <v>1490</v>
      </c>
      <c r="AD141" s="56" t="s">
        <v>1490</v>
      </c>
      <c r="AE141" s="56" t="s">
        <v>1490</v>
      </c>
      <c r="AF141" s="56" t="s">
        <v>1490</v>
      </c>
      <c r="AG141" s="56" t="s">
        <v>1490</v>
      </c>
      <c r="AH141" s="56" t="s">
        <v>1490</v>
      </c>
      <c r="AI141" s="56" t="s">
        <v>1490</v>
      </c>
      <c r="AJ141" s="56" t="s">
        <v>1490</v>
      </c>
      <c r="AK141" s="56" t="s">
        <v>1490</v>
      </c>
    </row>
    <row r="142" spans="1:37" s="56" customFormat="1" ht="30" customHeight="1" x14ac:dyDescent="0.25">
      <c r="A142" s="56">
        <v>141</v>
      </c>
      <c r="B142" s="57" t="s">
        <v>171</v>
      </c>
      <c r="C142" s="57" t="s">
        <v>463</v>
      </c>
      <c r="D142" s="56" t="s">
        <v>622</v>
      </c>
      <c r="E142" s="56" t="s">
        <v>642</v>
      </c>
      <c r="G142" s="56" t="s">
        <v>1492</v>
      </c>
      <c r="H142" s="58">
        <f>VLOOKUP(Table1[[#This Row],[Project Code]],'[2]Combined '!$E:$N,8,FALSE)</f>
        <v>44745</v>
      </c>
      <c r="I142" s="59"/>
      <c r="J142" s="59" t="str">
        <f>VLOOKUP(Table1[[#This Row],[Project Code]],'[6]Combined Nov''25'!$E:$O,10,FALSE)</f>
        <v>NA</v>
      </c>
      <c r="K142" s="57" t="s">
        <v>699</v>
      </c>
      <c r="L142" s="57" t="s">
        <v>818</v>
      </c>
      <c r="M142" s="56" t="s">
        <v>851</v>
      </c>
      <c r="N142" s="56" t="s">
        <v>907</v>
      </c>
      <c r="O142" s="57" t="s">
        <v>859</v>
      </c>
      <c r="P142" s="56" t="s">
        <v>879</v>
      </c>
      <c r="Q142" s="57" t="s">
        <v>887</v>
      </c>
      <c r="T142" s="57" t="s">
        <v>957</v>
      </c>
      <c r="U142" s="57" t="s">
        <v>1121</v>
      </c>
      <c r="V142" s="56" t="s">
        <v>1057</v>
      </c>
      <c r="W142" s="60">
        <v>0</v>
      </c>
      <c r="X142" s="56" t="s">
        <v>1489</v>
      </c>
      <c r="Y142" s="56" t="s">
        <v>1489</v>
      </c>
      <c r="Z142" s="56" t="s">
        <v>1490</v>
      </c>
      <c r="AA142" s="56" t="s">
        <v>1490</v>
      </c>
      <c r="AB142" s="56" t="s">
        <v>1490</v>
      </c>
      <c r="AC142" s="56" t="s">
        <v>1490</v>
      </c>
      <c r="AD142" s="56" t="s">
        <v>1490</v>
      </c>
      <c r="AE142" s="56" t="s">
        <v>1490</v>
      </c>
      <c r="AF142" s="56" t="s">
        <v>1490</v>
      </c>
      <c r="AG142" s="56" t="s">
        <v>1490</v>
      </c>
      <c r="AH142" s="56" t="s">
        <v>1490</v>
      </c>
      <c r="AI142" s="56" t="s">
        <v>1490</v>
      </c>
      <c r="AJ142" s="56" t="s">
        <v>1490</v>
      </c>
      <c r="AK142" s="56" t="s">
        <v>1490</v>
      </c>
    </row>
    <row r="143" spans="1:37" s="56" customFormat="1" ht="30" customHeight="1" x14ac:dyDescent="0.25">
      <c r="A143" s="56">
        <v>142</v>
      </c>
      <c r="B143" s="57" t="s">
        <v>172</v>
      </c>
      <c r="C143" s="57" t="s">
        <v>464</v>
      </c>
      <c r="D143" s="56" t="s">
        <v>622</v>
      </c>
      <c r="E143" s="56" t="s">
        <v>642</v>
      </c>
      <c r="G143" s="56" t="s">
        <v>1492</v>
      </c>
      <c r="H143" s="58">
        <f>VLOOKUP(Table1[[#This Row],[Project Code]],'[2]Combined '!$E:$N,8,FALSE)</f>
        <v>44715</v>
      </c>
      <c r="I143" s="59"/>
      <c r="J143" s="59" t="str">
        <f>VLOOKUP(Table1[[#This Row],[Project Code]],'[6]Combined Nov''25'!$E:$O,10,FALSE)</f>
        <v>NA</v>
      </c>
      <c r="K143" s="57" t="s">
        <v>699</v>
      </c>
      <c r="L143" s="57" t="s">
        <v>818</v>
      </c>
      <c r="M143" s="56" t="s">
        <v>851</v>
      </c>
      <c r="N143" s="56" t="s">
        <v>908</v>
      </c>
      <c r="O143" s="57" t="s">
        <v>858</v>
      </c>
      <c r="P143" s="56" t="s">
        <v>879</v>
      </c>
      <c r="Q143" s="57" t="s">
        <v>886</v>
      </c>
      <c r="T143" s="57" t="s">
        <v>958</v>
      </c>
      <c r="U143" s="57" t="s">
        <v>1122</v>
      </c>
      <c r="V143" s="56" t="s">
        <v>1057</v>
      </c>
      <c r="W143" s="60">
        <v>0</v>
      </c>
      <c r="X143" s="56" t="s">
        <v>1489</v>
      </c>
      <c r="Y143" s="56" t="s">
        <v>1489</v>
      </c>
      <c r="Z143" s="56" t="s">
        <v>1490</v>
      </c>
      <c r="AA143" s="56" t="s">
        <v>1490</v>
      </c>
      <c r="AB143" s="56" t="s">
        <v>1490</v>
      </c>
      <c r="AC143" s="56" t="s">
        <v>1490</v>
      </c>
      <c r="AD143" s="56" t="s">
        <v>1490</v>
      </c>
      <c r="AE143" s="56" t="s">
        <v>1490</v>
      </c>
      <c r="AF143" s="56" t="s">
        <v>1490</v>
      </c>
      <c r="AG143" s="56" t="s">
        <v>1490</v>
      </c>
      <c r="AH143" s="56" t="s">
        <v>1490</v>
      </c>
      <c r="AI143" s="56" t="s">
        <v>1490</v>
      </c>
      <c r="AJ143" s="56" t="s">
        <v>1490</v>
      </c>
      <c r="AK143" s="56" t="s">
        <v>1490</v>
      </c>
    </row>
    <row r="144" spans="1:37" s="56" customFormat="1" ht="30" customHeight="1" x14ac:dyDescent="0.25">
      <c r="A144" s="56">
        <v>143</v>
      </c>
      <c r="B144" s="57" t="s">
        <v>173</v>
      </c>
      <c r="C144" s="57" t="s">
        <v>465</v>
      </c>
      <c r="D144" s="56" t="s">
        <v>617</v>
      </c>
      <c r="E144" s="56" t="s">
        <v>638</v>
      </c>
      <c r="G144" s="56" t="s">
        <v>1492</v>
      </c>
      <c r="H144" s="58">
        <f>VLOOKUP(Table1[[#This Row],[Project Code]],'[2]Combined '!$E:$N,8,FALSE)</f>
        <v>44540</v>
      </c>
      <c r="I144" s="59"/>
      <c r="J144" s="59"/>
      <c r="K144" s="69" t="str">
        <f>VLOOKUP(Table1[[#This Row],[Project Code]],'[6]Combined Nov''25'!$E:$K,6,FALSE)</f>
        <v>FCI</v>
      </c>
      <c r="L144" s="57" t="s">
        <v>707</v>
      </c>
      <c r="M144" s="56" t="s">
        <v>847</v>
      </c>
      <c r="N144" s="56" t="s">
        <v>909</v>
      </c>
      <c r="O144" s="57" t="s">
        <v>860</v>
      </c>
      <c r="P144" s="56" t="s">
        <v>864</v>
      </c>
      <c r="Q144" s="57" t="s">
        <v>887</v>
      </c>
      <c r="T144" s="57" t="s">
        <v>959</v>
      </c>
      <c r="U144" s="57" t="s">
        <v>1123</v>
      </c>
      <c r="V144" s="56" t="s">
        <v>1057</v>
      </c>
      <c r="W144" s="60">
        <v>0</v>
      </c>
      <c r="X144" s="56" t="s">
        <v>1489</v>
      </c>
      <c r="Y144" s="56" t="s">
        <v>1491</v>
      </c>
      <c r="Z144" s="56" t="s">
        <v>1490</v>
      </c>
      <c r="AA144" s="56" t="s">
        <v>1490</v>
      </c>
      <c r="AB144" s="56" t="s">
        <v>1490</v>
      </c>
      <c r="AC144" s="56" t="s">
        <v>1490</v>
      </c>
      <c r="AD144" s="56" t="s">
        <v>1490</v>
      </c>
      <c r="AE144" s="56" t="s">
        <v>1490</v>
      </c>
      <c r="AF144" s="56" t="s">
        <v>1490</v>
      </c>
      <c r="AG144" s="56" t="s">
        <v>1490</v>
      </c>
      <c r="AH144" s="56" t="s">
        <v>1490</v>
      </c>
      <c r="AI144" s="56" t="s">
        <v>1490</v>
      </c>
      <c r="AJ144" s="56" t="s">
        <v>1490</v>
      </c>
      <c r="AK144" s="56" t="s">
        <v>1490</v>
      </c>
    </row>
    <row r="145" spans="1:37" s="56" customFormat="1" ht="30" customHeight="1" x14ac:dyDescent="0.25">
      <c r="A145" s="56">
        <v>144</v>
      </c>
      <c r="B145" s="57" t="s">
        <v>174</v>
      </c>
      <c r="C145" s="57" t="s">
        <v>466</v>
      </c>
      <c r="H145" s="58"/>
      <c r="I145" s="59"/>
      <c r="J145" s="59" t="e">
        <f>VLOOKUP(Table1[[#This Row],[Project Code]],'[6]Combined Nov''25'!$E:$O,10,FALSE)</f>
        <v>#N/A</v>
      </c>
      <c r="K145" s="69" t="e">
        <f>VLOOKUP(Table1[[#This Row],[Project Code]],'[6]Combined Nov''25'!$E:$K,6,FALSE)</f>
        <v>#N/A</v>
      </c>
      <c r="L145" s="57" t="s">
        <v>697</v>
      </c>
      <c r="M145" s="56" t="s">
        <v>843</v>
      </c>
      <c r="N145" s="73" t="e">
        <f>VLOOKUP(Table1[[#This Row],[Project Code]],'[6]Combined Nov''25'!$E:$K,7,FALSE)</f>
        <v>#N/A</v>
      </c>
      <c r="O145" s="57" t="s">
        <v>863</v>
      </c>
      <c r="P145" s="56" t="s">
        <v>864</v>
      </c>
      <c r="Q145" s="57" t="s">
        <v>886</v>
      </c>
      <c r="T145" s="57" t="e">
        <f>VLOOKUP(Table1[[#This Row],[Project Code]],'[6]Combined Nov''25'!$E:$P,12,FALSE)</f>
        <v>#N/A</v>
      </c>
      <c r="U145" s="57" t="e">
        <v>#N/A</v>
      </c>
      <c r="V145" s="56" t="e">
        <v>#N/A</v>
      </c>
      <c r="W145" s="60" t="e">
        <v>#N/A</v>
      </c>
      <c r="X145" s="56" t="s">
        <v>1489</v>
      </c>
      <c r="Y145" s="56" t="s">
        <v>1489</v>
      </c>
      <c r="Z145" s="56" t="s">
        <v>1490</v>
      </c>
      <c r="AA145" s="56" t="s">
        <v>1490</v>
      </c>
      <c r="AB145" s="56" t="s">
        <v>1490</v>
      </c>
      <c r="AC145" s="56" t="s">
        <v>1490</v>
      </c>
      <c r="AD145" s="56" t="s">
        <v>1490</v>
      </c>
      <c r="AE145" s="56" t="s">
        <v>1490</v>
      </c>
      <c r="AF145" s="56" t="s">
        <v>1490</v>
      </c>
      <c r="AG145" s="56" t="s">
        <v>1490</v>
      </c>
      <c r="AH145" s="56" t="s">
        <v>1490</v>
      </c>
      <c r="AI145" s="56" t="s">
        <v>1490</v>
      </c>
      <c r="AJ145" s="56" t="s">
        <v>1490</v>
      </c>
      <c r="AK145" s="56" t="s">
        <v>1490</v>
      </c>
    </row>
    <row r="146" spans="1:37" s="56" customFormat="1" ht="30" customHeight="1" x14ac:dyDescent="0.25">
      <c r="A146" s="56">
        <v>145</v>
      </c>
      <c r="B146" s="57" t="s">
        <v>175</v>
      </c>
      <c r="C146" s="57" t="s">
        <v>467</v>
      </c>
      <c r="H146" s="58"/>
      <c r="I146" s="59"/>
      <c r="J146" s="59" t="e">
        <f>VLOOKUP(Table1[[#This Row],[Project Code]],'[6]Combined Nov''25'!$E:$O,10,FALSE)</f>
        <v>#N/A</v>
      </c>
      <c r="K146" s="57" t="s">
        <v>695</v>
      </c>
      <c r="L146" s="57" t="s">
        <v>817</v>
      </c>
      <c r="M146" s="56" t="s">
        <v>843</v>
      </c>
      <c r="N146" s="73" t="e">
        <f>VLOOKUP(Table1[[#This Row],[Project Code]],'[6]Combined Nov''25'!$E:$K,7,FALSE)</f>
        <v>#N/A</v>
      </c>
      <c r="O146" s="57" t="s">
        <v>863</v>
      </c>
      <c r="P146" s="56" t="s">
        <v>864</v>
      </c>
      <c r="Q146" s="57" t="s">
        <v>887</v>
      </c>
      <c r="T146" s="57" t="e">
        <f>VLOOKUP(Table1[[#This Row],[Project Code]],'[6]Combined Nov''25'!$E:$P,12,FALSE)</f>
        <v>#N/A</v>
      </c>
      <c r="U146" s="57" t="e">
        <v>#N/A</v>
      </c>
      <c r="V146" s="56" t="e">
        <v>#N/A</v>
      </c>
      <c r="W146" s="60" t="e">
        <v>#N/A</v>
      </c>
      <c r="X146" s="56" t="s">
        <v>1489</v>
      </c>
      <c r="Y146" s="56" t="s">
        <v>1489</v>
      </c>
      <c r="Z146" s="56" t="s">
        <v>1490</v>
      </c>
      <c r="AA146" s="56" t="s">
        <v>1490</v>
      </c>
      <c r="AB146" s="56" t="s">
        <v>1490</v>
      </c>
      <c r="AC146" s="56" t="s">
        <v>1490</v>
      </c>
      <c r="AD146" s="56" t="s">
        <v>1490</v>
      </c>
      <c r="AE146" s="56" t="s">
        <v>1490</v>
      </c>
      <c r="AF146" s="56" t="s">
        <v>1490</v>
      </c>
      <c r="AG146" s="56" t="s">
        <v>1490</v>
      </c>
      <c r="AH146" s="56" t="s">
        <v>1490</v>
      </c>
      <c r="AI146" s="56" t="s">
        <v>1490</v>
      </c>
      <c r="AJ146" s="56" t="s">
        <v>1490</v>
      </c>
      <c r="AK146" s="56" t="s">
        <v>1490</v>
      </c>
    </row>
    <row r="147" spans="1:37" s="56" customFormat="1" ht="30" customHeight="1" x14ac:dyDescent="0.25">
      <c r="A147" s="56">
        <v>146</v>
      </c>
      <c r="B147" s="57" t="s">
        <v>176</v>
      </c>
      <c r="C147" s="57" t="s">
        <v>468</v>
      </c>
      <c r="D147" s="56" t="s">
        <v>617</v>
      </c>
      <c r="E147" s="56" t="s">
        <v>626</v>
      </c>
      <c r="G147" s="56" t="s">
        <v>1492</v>
      </c>
      <c r="H147" s="58">
        <f>VLOOKUP(Table1[[#This Row],[Project Code]],'[2]Combined '!$E:$N,8,FALSE)</f>
        <v>44684</v>
      </c>
      <c r="I147" s="59"/>
      <c r="J147" s="59"/>
      <c r="K147" s="69" t="str">
        <f>VLOOKUP(Table1[[#This Row],[Project Code]],'[6]Combined Nov''25'!$E:$K,6,FALSE)</f>
        <v>MoHUA</v>
      </c>
      <c r="L147" s="57" t="s">
        <v>696</v>
      </c>
      <c r="M147" s="56" t="s">
        <v>843</v>
      </c>
      <c r="N147" s="56" t="s">
        <v>910</v>
      </c>
      <c r="O147" s="57" t="s">
        <v>863</v>
      </c>
      <c r="P147" s="56" t="s">
        <v>864</v>
      </c>
      <c r="Q147" s="57" t="s">
        <v>886</v>
      </c>
      <c r="T147" s="57" t="s">
        <v>960</v>
      </c>
      <c r="U147" s="57" t="s">
        <v>1124</v>
      </c>
      <c r="V147" s="56" t="s">
        <v>1058</v>
      </c>
      <c r="W147" s="60">
        <v>0</v>
      </c>
      <c r="X147" s="56" t="s">
        <v>1489</v>
      </c>
      <c r="Y147" s="56" t="s">
        <v>1489</v>
      </c>
      <c r="Z147" s="56" t="s">
        <v>1490</v>
      </c>
      <c r="AA147" s="56" t="s">
        <v>1490</v>
      </c>
      <c r="AB147" s="56" t="s">
        <v>1490</v>
      </c>
      <c r="AC147" s="56" t="s">
        <v>1490</v>
      </c>
      <c r="AD147" s="56" t="s">
        <v>1490</v>
      </c>
      <c r="AE147" s="56" t="s">
        <v>1490</v>
      </c>
      <c r="AF147" s="56" t="s">
        <v>1490</v>
      </c>
      <c r="AG147" s="56" t="s">
        <v>1490</v>
      </c>
      <c r="AH147" s="56" t="s">
        <v>1490</v>
      </c>
      <c r="AI147" s="56" t="s">
        <v>1490</v>
      </c>
      <c r="AJ147" s="56" t="s">
        <v>1490</v>
      </c>
      <c r="AK147" s="56" t="s">
        <v>1490</v>
      </c>
    </row>
    <row r="148" spans="1:37" s="56" customFormat="1" ht="30" customHeight="1" x14ac:dyDescent="0.25">
      <c r="A148" s="56">
        <v>147</v>
      </c>
      <c r="B148" s="57" t="s">
        <v>177</v>
      </c>
      <c r="C148" s="57" t="s">
        <v>469</v>
      </c>
      <c r="D148" s="56" t="s">
        <v>618</v>
      </c>
      <c r="E148" s="56" t="s">
        <v>643</v>
      </c>
      <c r="G148" s="56" t="str">
        <f>VLOOKUP(Table1[[#This Row],[Project Code]],[1]Combined!$E:$I,5,FALSE)</f>
        <v>Completed</v>
      </c>
      <c r="H148" s="58">
        <f>VLOOKUP(Table1[[#This Row],[Project Code]],'[2]Combined '!$E:$N,8,FALSE)</f>
        <v>44680</v>
      </c>
      <c r="I148" s="59"/>
      <c r="J148" s="59" t="str">
        <f>VLOOKUP(Table1[[#This Row],[Project Code]],'[6]Combined Nov''25'!$E:$O,10,FALSE)</f>
        <v>-</v>
      </c>
      <c r="K148" s="69" t="s">
        <v>700</v>
      </c>
      <c r="L148" s="69" t="s">
        <v>801</v>
      </c>
      <c r="M148" s="73" t="s">
        <v>844</v>
      </c>
      <c r="N148" s="73" t="s">
        <v>902</v>
      </c>
      <c r="O148" s="69" t="s">
        <v>859</v>
      </c>
      <c r="P148" s="73" t="s">
        <v>875</v>
      </c>
      <c r="Q148" s="57" t="s">
        <v>887</v>
      </c>
      <c r="T148" s="57" t="s">
        <v>1080</v>
      </c>
      <c r="U148" s="57" t="s">
        <v>1125</v>
      </c>
      <c r="V148" s="56" t="s">
        <v>1057</v>
      </c>
      <c r="W148" s="60">
        <v>9811334.8200000003</v>
      </c>
      <c r="X148" s="56" t="s">
        <v>1489</v>
      </c>
      <c r="Y148" s="56" t="s">
        <v>1489</v>
      </c>
      <c r="Z148" s="56" t="s">
        <v>1490</v>
      </c>
      <c r="AA148" s="56" t="s">
        <v>1490</v>
      </c>
      <c r="AB148" s="56" t="s">
        <v>1490</v>
      </c>
      <c r="AC148" s="56" t="s">
        <v>1490</v>
      </c>
      <c r="AD148" s="56" t="s">
        <v>1490</v>
      </c>
      <c r="AE148" s="56" t="s">
        <v>1490</v>
      </c>
      <c r="AF148" s="56" t="s">
        <v>1490</v>
      </c>
      <c r="AG148" s="56" t="s">
        <v>1490</v>
      </c>
      <c r="AH148" s="56" t="s">
        <v>1490</v>
      </c>
      <c r="AI148" s="56" t="s">
        <v>1490</v>
      </c>
      <c r="AJ148" s="56" t="s">
        <v>1490</v>
      </c>
      <c r="AK148" s="56" t="s">
        <v>1490</v>
      </c>
    </row>
    <row r="149" spans="1:37" s="56" customFormat="1" ht="30" customHeight="1" x14ac:dyDescent="0.25">
      <c r="A149" s="56">
        <v>148</v>
      </c>
      <c r="B149" s="57" t="s">
        <v>178</v>
      </c>
      <c r="C149" s="57" t="s">
        <v>470</v>
      </c>
      <c r="D149" s="56" t="s">
        <v>616</v>
      </c>
      <c r="E149" s="56" t="s">
        <v>628</v>
      </c>
      <c r="G149" s="56" t="s">
        <v>1492</v>
      </c>
      <c r="H149" s="58"/>
      <c r="I149" s="59"/>
      <c r="J149" s="59"/>
      <c r="K149" s="69" t="str">
        <f>VLOOKUP(Table1[[#This Row],[Project Code]],'[6]Combined Nov''25'!$E:$K,6,FALSE)</f>
        <v>Ministry of Culture</v>
      </c>
      <c r="L149" s="57" t="s">
        <v>765</v>
      </c>
      <c r="M149" s="56" t="s">
        <v>843</v>
      </c>
      <c r="N149" s="56" t="s">
        <v>893</v>
      </c>
      <c r="O149" s="57" t="s">
        <v>862</v>
      </c>
      <c r="P149" s="56" t="s">
        <v>864</v>
      </c>
      <c r="Q149" s="57" t="s">
        <v>886</v>
      </c>
      <c r="T149" s="57" t="s">
        <v>961</v>
      </c>
      <c r="U149" s="57" t="s">
        <v>1126</v>
      </c>
      <c r="V149" s="56" t="s">
        <v>1057</v>
      </c>
      <c r="W149" s="60">
        <v>8949640</v>
      </c>
      <c r="X149" s="56" t="s">
        <v>1489</v>
      </c>
      <c r="Y149" s="56" t="s">
        <v>1489</v>
      </c>
      <c r="Z149" s="56" t="s">
        <v>1490</v>
      </c>
      <c r="AA149" s="56" t="s">
        <v>1490</v>
      </c>
      <c r="AB149" s="56" t="s">
        <v>1490</v>
      </c>
      <c r="AC149" s="56" t="s">
        <v>1490</v>
      </c>
      <c r="AD149" s="56" t="s">
        <v>1490</v>
      </c>
      <c r="AE149" s="56" t="s">
        <v>1490</v>
      </c>
      <c r="AF149" s="56" t="s">
        <v>1490</v>
      </c>
      <c r="AG149" s="56" t="s">
        <v>1490</v>
      </c>
      <c r="AH149" s="56" t="s">
        <v>1490</v>
      </c>
      <c r="AI149" s="56" t="s">
        <v>1490</v>
      </c>
      <c r="AJ149" s="56" t="s">
        <v>1490</v>
      </c>
      <c r="AK149" s="56" t="s">
        <v>1490</v>
      </c>
    </row>
    <row r="150" spans="1:37" s="56" customFormat="1" ht="30" customHeight="1" x14ac:dyDescent="0.25">
      <c r="A150" s="56">
        <v>149</v>
      </c>
      <c r="B150" s="57" t="s">
        <v>179</v>
      </c>
      <c r="C150" s="57" t="s">
        <v>471</v>
      </c>
      <c r="H150" s="58"/>
      <c r="I150" s="59"/>
      <c r="J150" s="59" t="e">
        <f>VLOOKUP(Table1[[#This Row],[Project Code]],'[6]Combined Nov''25'!$E:$O,10,FALSE)</f>
        <v>#N/A</v>
      </c>
      <c r="K150" s="57" t="s">
        <v>701</v>
      </c>
      <c r="L150" s="57" t="s">
        <v>776</v>
      </c>
      <c r="M150" s="56" t="s">
        <v>844</v>
      </c>
      <c r="N150" s="73" t="e">
        <f>VLOOKUP(Table1[[#This Row],[Project Code]],'[6]Combined Nov''25'!$E:$K,7,FALSE)</f>
        <v>#N/A</v>
      </c>
      <c r="O150" s="57" t="s">
        <v>856</v>
      </c>
      <c r="P150" s="56" t="s">
        <v>869</v>
      </c>
      <c r="Q150" s="57" t="s">
        <v>886</v>
      </c>
      <c r="T150" s="57" t="e">
        <f>VLOOKUP(Table1[[#This Row],[Project Code]],'[6]Combined Nov''25'!$E:$P,12,FALSE)</f>
        <v>#N/A</v>
      </c>
      <c r="U150" s="57" t="e">
        <v>#N/A</v>
      </c>
      <c r="V150" s="56" t="e">
        <v>#N/A</v>
      </c>
      <c r="W150" s="60" t="e">
        <v>#N/A</v>
      </c>
      <c r="X150" s="56" t="s">
        <v>1489</v>
      </c>
      <c r="Y150" s="56" t="s">
        <v>1489</v>
      </c>
      <c r="Z150" s="56" t="s">
        <v>1490</v>
      </c>
      <c r="AA150" s="56" t="s">
        <v>1490</v>
      </c>
      <c r="AB150" s="56" t="s">
        <v>1490</v>
      </c>
      <c r="AC150" s="56" t="s">
        <v>1490</v>
      </c>
      <c r="AD150" s="56" t="s">
        <v>1490</v>
      </c>
      <c r="AE150" s="56" t="s">
        <v>1490</v>
      </c>
      <c r="AF150" s="56" t="s">
        <v>1490</v>
      </c>
      <c r="AG150" s="56" t="s">
        <v>1490</v>
      </c>
      <c r="AH150" s="56" t="s">
        <v>1490</v>
      </c>
      <c r="AI150" s="56" t="s">
        <v>1490</v>
      </c>
      <c r="AJ150" s="56" t="s">
        <v>1490</v>
      </c>
      <c r="AK150" s="56" t="s">
        <v>1490</v>
      </c>
    </row>
    <row r="151" spans="1:37" s="56" customFormat="1" ht="30" customHeight="1" x14ac:dyDescent="0.25">
      <c r="A151" s="56">
        <v>150</v>
      </c>
      <c r="B151" s="57" t="s">
        <v>180</v>
      </c>
      <c r="C151" s="57" t="s">
        <v>472</v>
      </c>
      <c r="H151" s="58"/>
      <c r="I151" s="59"/>
      <c r="J151" s="59" t="e">
        <f>VLOOKUP(Table1[[#This Row],[Project Code]],'[6]Combined Nov''25'!$E:$O,10,FALSE)</f>
        <v>#N/A</v>
      </c>
      <c r="K151" s="57" t="s">
        <v>702</v>
      </c>
      <c r="L151" s="57" t="s">
        <v>796</v>
      </c>
      <c r="M151" s="56" t="s">
        <v>843</v>
      </c>
      <c r="N151" s="73" t="e">
        <f>VLOOKUP(Table1[[#This Row],[Project Code]],'[6]Combined Nov''25'!$E:$K,7,FALSE)</f>
        <v>#N/A</v>
      </c>
      <c r="O151" s="57" t="s">
        <v>863</v>
      </c>
      <c r="P151" s="56" t="s">
        <v>864</v>
      </c>
      <c r="Q151" s="57" t="s">
        <v>888</v>
      </c>
      <c r="T151" s="57" t="e">
        <f>VLOOKUP(Table1[[#This Row],[Project Code]],'[6]Combined Nov''25'!$E:$P,12,FALSE)</f>
        <v>#N/A</v>
      </c>
      <c r="U151" s="57" t="e">
        <v>#N/A</v>
      </c>
      <c r="V151" s="56" t="e">
        <v>#N/A</v>
      </c>
      <c r="W151" s="60" t="e">
        <v>#N/A</v>
      </c>
      <c r="X151" s="56" t="s">
        <v>1489</v>
      </c>
      <c r="Y151" s="56" t="s">
        <v>1489</v>
      </c>
      <c r="Z151" s="56" t="s">
        <v>1490</v>
      </c>
      <c r="AA151" s="56" t="s">
        <v>1490</v>
      </c>
      <c r="AB151" s="56" t="s">
        <v>1490</v>
      </c>
      <c r="AC151" s="56" t="s">
        <v>1490</v>
      </c>
      <c r="AD151" s="56" t="s">
        <v>1490</v>
      </c>
      <c r="AE151" s="56" t="s">
        <v>1490</v>
      </c>
      <c r="AF151" s="56" t="s">
        <v>1490</v>
      </c>
      <c r="AG151" s="56" t="s">
        <v>1490</v>
      </c>
      <c r="AH151" s="56" t="s">
        <v>1490</v>
      </c>
      <c r="AI151" s="56" t="s">
        <v>1490</v>
      </c>
      <c r="AJ151" s="56" t="s">
        <v>1490</v>
      </c>
      <c r="AK151" s="56" t="s">
        <v>1490</v>
      </c>
    </row>
    <row r="152" spans="1:37" s="56" customFormat="1" ht="30" customHeight="1" x14ac:dyDescent="0.25">
      <c r="A152" s="56">
        <v>151</v>
      </c>
      <c r="B152" s="57" t="s">
        <v>181</v>
      </c>
      <c r="C152" s="57" t="s">
        <v>473</v>
      </c>
      <c r="H152" s="58"/>
      <c r="I152" s="59"/>
      <c r="J152" s="59" t="e">
        <f>VLOOKUP(Table1[[#This Row],[Project Code]],'[6]Combined Nov''25'!$E:$O,10,FALSE)</f>
        <v>#N/A</v>
      </c>
      <c r="K152" s="69" t="e">
        <f>VLOOKUP(Table1[[#This Row],[Project Code]],'[6]Combined Nov''25'!$E:$K,6,FALSE)</f>
        <v>#N/A</v>
      </c>
      <c r="L152" s="57" t="s">
        <v>819</v>
      </c>
      <c r="M152" s="56" t="s">
        <v>843</v>
      </c>
      <c r="N152" s="73" t="e">
        <f>VLOOKUP(Table1[[#This Row],[Project Code]],'[6]Combined Nov''25'!$E:$K,7,FALSE)</f>
        <v>#N/A</v>
      </c>
      <c r="O152" s="57" t="s">
        <v>863</v>
      </c>
      <c r="P152" s="56" t="s">
        <v>864</v>
      </c>
      <c r="Q152" s="57" t="s">
        <v>886</v>
      </c>
      <c r="T152" s="57" t="e">
        <f>VLOOKUP(Table1[[#This Row],[Project Code]],'[6]Combined Nov''25'!$E:$P,12,FALSE)</f>
        <v>#N/A</v>
      </c>
      <c r="U152" s="57" t="e">
        <v>#N/A</v>
      </c>
      <c r="V152" s="56" t="e">
        <v>#N/A</v>
      </c>
      <c r="W152" s="60" t="e">
        <v>#N/A</v>
      </c>
      <c r="X152" s="56" t="s">
        <v>1489</v>
      </c>
      <c r="Y152" s="56" t="s">
        <v>1489</v>
      </c>
      <c r="Z152" s="56" t="s">
        <v>1490</v>
      </c>
      <c r="AA152" s="56" t="s">
        <v>1490</v>
      </c>
      <c r="AB152" s="56" t="s">
        <v>1490</v>
      </c>
      <c r="AC152" s="56" t="s">
        <v>1490</v>
      </c>
      <c r="AD152" s="56" t="s">
        <v>1490</v>
      </c>
      <c r="AE152" s="56" t="s">
        <v>1490</v>
      </c>
      <c r="AF152" s="56" t="s">
        <v>1490</v>
      </c>
      <c r="AG152" s="56" t="s">
        <v>1490</v>
      </c>
      <c r="AH152" s="56" t="s">
        <v>1490</v>
      </c>
      <c r="AI152" s="56" t="s">
        <v>1490</v>
      </c>
      <c r="AJ152" s="56" t="s">
        <v>1490</v>
      </c>
      <c r="AK152" s="56" t="s">
        <v>1490</v>
      </c>
    </row>
    <row r="153" spans="1:37" s="56" customFormat="1" ht="30" customHeight="1" x14ac:dyDescent="0.25">
      <c r="A153" s="56">
        <v>152</v>
      </c>
      <c r="B153" s="57" t="s">
        <v>182</v>
      </c>
      <c r="C153" s="57" t="s">
        <v>474</v>
      </c>
      <c r="H153" s="58"/>
      <c r="I153" s="59"/>
      <c r="J153" s="59" t="e">
        <f>VLOOKUP(Table1[[#This Row],[Project Code]],'[6]Combined Nov''25'!$E:$O,10,FALSE)</f>
        <v>#N/A</v>
      </c>
      <c r="K153" s="69" t="e">
        <f>VLOOKUP(Table1[[#This Row],[Project Code]],'[6]Combined Nov''25'!$E:$K,6,FALSE)</f>
        <v>#N/A</v>
      </c>
      <c r="L153" s="57" t="s">
        <v>819</v>
      </c>
      <c r="M153" s="56" t="s">
        <v>843</v>
      </c>
      <c r="N153" s="73" t="e">
        <f>VLOOKUP(Table1[[#This Row],[Project Code]],'[6]Combined Nov''25'!$E:$K,7,FALSE)</f>
        <v>#N/A</v>
      </c>
      <c r="O153" s="57" t="s">
        <v>856</v>
      </c>
      <c r="P153" s="56" t="s">
        <v>864</v>
      </c>
      <c r="Q153" s="57" t="s">
        <v>886</v>
      </c>
      <c r="T153" s="57" t="e">
        <f>VLOOKUP(Table1[[#This Row],[Project Code]],'[6]Combined Nov''25'!$E:$P,12,FALSE)</f>
        <v>#N/A</v>
      </c>
      <c r="U153" s="57" t="e">
        <v>#N/A</v>
      </c>
      <c r="V153" s="56" t="e">
        <v>#N/A</v>
      </c>
      <c r="W153" s="60" t="e">
        <v>#N/A</v>
      </c>
      <c r="X153" s="56" t="s">
        <v>1489</v>
      </c>
      <c r="Y153" s="56" t="s">
        <v>1489</v>
      </c>
      <c r="Z153" s="56" t="s">
        <v>1490</v>
      </c>
      <c r="AA153" s="56" t="s">
        <v>1490</v>
      </c>
      <c r="AB153" s="56" t="s">
        <v>1490</v>
      </c>
      <c r="AC153" s="56" t="s">
        <v>1490</v>
      </c>
      <c r="AD153" s="56" t="s">
        <v>1490</v>
      </c>
      <c r="AE153" s="56" t="s">
        <v>1490</v>
      </c>
      <c r="AF153" s="56" t="s">
        <v>1490</v>
      </c>
      <c r="AG153" s="56" t="s">
        <v>1490</v>
      </c>
      <c r="AH153" s="56" t="s">
        <v>1490</v>
      </c>
      <c r="AI153" s="56" t="s">
        <v>1490</v>
      </c>
      <c r="AJ153" s="56" t="s">
        <v>1490</v>
      </c>
      <c r="AK153" s="56" t="s">
        <v>1490</v>
      </c>
    </row>
    <row r="154" spans="1:37" s="56" customFormat="1" ht="30" customHeight="1" x14ac:dyDescent="0.25">
      <c r="A154" s="56">
        <v>153</v>
      </c>
      <c r="B154" s="57" t="s">
        <v>183</v>
      </c>
      <c r="C154" s="57" t="s">
        <v>475</v>
      </c>
      <c r="H154" s="58"/>
      <c r="I154" s="59"/>
      <c r="J154" s="59" t="e">
        <f>VLOOKUP(Table1[[#This Row],[Project Code]],'[6]Combined Nov''25'!$E:$O,10,FALSE)</f>
        <v>#N/A</v>
      </c>
      <c r="K154" s="69" t="e">
        <f>VLOOKUP(Table1[[#This Row],[Project Code]],'[6]Combined Nov''25'!$E:$K,6,FALSE)</f>
        <v>#N/A</v>
      </c>
      <c r="L154" s="57" t="s">
        <v>819</v>
      </c>
      <c r="M154" s="56" t="s">
        <v>843</v>
      </c>
      <c r="N154" s="73" t="e">
        <f>VLOOKUP(Table1[[#This Row],[Project Code]],'[6]Combined Nov''25'!$E:$K,7,FALSE)</f>
        <v>#N/A</v>
      </c>
      <c r="O154" s="57" t="s">
        <v>856</v>
      </c>
      <c r="P154" s="56" t="s">
        <v>864</v>
      </c>
      <c r="Q154" s="57" t="s">
        <v>886</v>
      </c>
      <c r="T154" s="57" t="e">
        <f>VLOOKUP(Table1[[#This Row],[Project Code]],'[6]Combined Nov''25'!$E:$P,12,FALSE)</f>
        <v>#N/A</v>
      </c>
      <c r="U154" s="57" t="e">
        <v>#N/A</v>
      </c>
      <c r="V154" s="56" t="e">
        <v>#N/A</v>
      </c>
      <c r="W154" s="60" t="e">
        <v>#N/A</v>
      </c>
      <c r="X154" s="56" t="s">
        <v>1489</v>
      </c>
      <c r="Y154" s="56" t="s">
        <v>1489</v>
      </c>
      <c r="Z154" s="56" t="s">
        <v>1490</v>
      </c>
      <c r="AA154" s="56" t="s">
        <v>1490</v>
      </c>
      <c r="AB154" s="56" t="s">
        <v>1490</v>
      </c>
      <c r="AC154" s="56" t="s">
        <v>1490</v>
      </c>
      <c r="AD154" s="56" t="s">
        <v>1490</v>
      </c>
      <c r="AE154" s="56" t="s">
        <v>1490</v>
      </c>
      <c r="AF154" s="56" t="s">
        <v>1490</v>
      </c>
      <c r="AG154" s="56" t="s">
        <v>1490</v>
      </c>
      <c r="AH154" s="56" t="s">
        <v>1490</v>
      </c>
      <c r="AI154" s="56" t="s">
        <v>1490</v>
      </c>
      <c r="AJ154" s="56" t="s">
        <v>1490</v>
      </c>
      <c r="AK154" s="56" t="s">
        <v>1490</v>
      </c>
    </row>
    <row r="155" spans="1:37" s="56" customFormat="1" ht="30" customHeight="1" x14ac:dyDescent="0.25">
      <c r="A155" s="56">
        <v>154</v>
      </c>
      <c r="B155" s="57" t="s">
        <v>184</v>
      </c>
      <c r="C155" s="57" t="s">
        <v>476</v>
      </c>
      <c r="H155" s="58"/>
      <c r="I155" s="59"/>
      <c r="J155" s="59" t="e">
        <f>VLOOKUP(Table1[[#This Row],[Project Code]],'[6]Combined Nov''25'!$E:$O,10,FALSE)</f>
        <v>#N/A</v>
      </c>
      <c r="K155" s="57" t="s">
        <v>703</v>
      </c>
      <c r="L155" s="57" t="s">
        <v>817</v>
      </c>
      <c r="M155" s="56" t="s">
        <v>843</v>
      </c>
      <c r="N155" s="73" t="e">
        <f>VLOOKUP(Table1[[#This Row],[Project Code]],'[6]Combined Nov''25'!$E:$K,7,FALSE)</f>
        <v>#N/A</v>
      </c>
      <c r="O155" s="57" t="s">
        <v>863</v>
      </c>
      <c r="P155" s="56" t="s">
        <v>864</v>
      </c>
      <c r="Q155" s="57" t="s">
        <v>886</v>
      </c>
      <c r="T155" s="57" t="e">
        <f>VLOOKUP(Table1[[#This Row],[Project Code]],'[6]Combined Nov''25'!$E:$P,12,FALSE)</f>
        <v>#N/A</v>
      </c>
      <c r="U155" s="57" t="e">
        <v>#N/A</v>
      </c>
      <c r="V155" s="56" t="e">
        <v>#N/A</v>
      </c>
      <c r="W155" s="60" t="e">
        <v>#N/A</v>
      </c>
      <c r="X155" s="56" t="s">
        <v>1489</v>
      </c>
      <c r="Y155" s="56" t="s">
        <v>1489</v>
      </c>
      <c r="Z155" s="56" t="s">
        <v>1490</v>
      </c>
      <c r="AA155" s="56" t="s">
        <v>1490</v>
      </c>
      <c r="AB155" s="56" t="s">
        <v>1490</v>
      </c>
      <c r="AC155" s="56" t="s">
        <v>1490</v>
      </c>
      <c r="AD155" s="56" t="s">
        <v>1490</v>
      </c>
      <c r="AE155" s="56" t="s">
        <v>1490</v>
      </c>
      <c r="AF155" s="56" t="s">
        <v>1490</v>
      </c>
      <c r="AG155" s="56" t="s">
        <v>1490</v>
      </c>
      <c r="AH155" s="56" t="s">
        <v>1490</v>
      </c>
      <c r="AI155" s="56" t="s">
        <v>1490</v>
      </c>
      <c r="AJ155" s="56" t="s">
        <v>1490</v>
      </c>
      <c r="AK155" s="56" t="s">
        <v>1490</v>
      </c>
    </row>
    <row r="156" spans="1:37" s="56" customFormat="1" ht="30" customHeight="1" x14ac:dyDescent="0.25">
      <c r="A156" s="56">
        <v>155</v>
      </c>
      <c r="B156" s="57" t="s">
        <v>185</v>
      </c>
      <c r="C156" s="57" t="s">
        <v>477</v>
      </c>
      <c r="D156" s="56" t="s">
        <v>619</v>
      </c>
      <c r="E156" s="56" t="s">
        <v>632</v>
      </c>
      <c r="G156" s="56" t="str">
        <f>VLOOKUP(Table1[[#This Row],[Project Code]],[1]Combined!$E:$I,5,FALSE)</f>
        <v>Ongoing</v>
      </c>
      <c r="H156" s="58">
        <f>VLOOKUP(Table1[[#This Row],[Project Code]],'[2]Combined '!$E:$N,8,FALSE)</f>
        <v>44749</v>
      </c>
      <c r="I156" s="59"/>
      <c r="J156" s="59">
        <f>VLOOKUP(Table1[[#This Row],[Project Code]],'[6]Combined Nov''25'!$E:$O,10,FALSE)</f>
        <v>46112</v>
      </c>
      <c r="K156" s="69" t="str">
        <f>VLOOKUP(Table1[[#This Row],[Project Code]],'[6]Combined Nov''25'!$E:$K,6,FALSE)</f>
        <v>NTPL</v>
      </c>
      <c r="L156" s="69" t="s">
        <v>820</v>
      </c>
      <c r="M156" s="73" t="s">
        <v>847</v>
      </c>
      <c r="N156" s="73" t="s">
        <v>895</v>
      </c>
      <c r="O156" s="69" t="s">
        <v>861</v>
      </c>
      <c r="P156" s="73" t="s">
        <v>880</v>
      </c>
      <c r="Q156" s="57" t="s">
        <v>887</v>
      </c>
      <c r="T156" s="57" t="s">
        <v>962</v>
      </c>
      <c r="U156" s="57" t="s">
        <v>1127</v>
      </c>
      <c r="V156" s="56" t="s">
        <v>1057</v>
      </c>
      <c r="W156" s="60">
        <v>0</v>
      </c>
      <c r="X156" s="56" t="s">
        <v>1489</v>
      </c>
      <c r="Y156" s="56" t="s">
        <v>1489</v>
      </c>
      <c r="Z156" s="56" t="s">
        <v>1490</v>
      </c>
      <c r="AA156" s="56" t="s">
        <v>1490</v>
      </c>
      <c r="AB156" s="56" t="s">
        <v>1490</v>
      </c>
      <c r="AC156" s="56" t="s">
        <v>1490</v>
      </c>
      <c r="AD156" s="56" t="s">
        <v>1490</v>
      </c>
      <c r="AE156" s="56" t="s">
        <v>1490</v>
      </c>
      <c r="AF156" s="56" t="s">
        <v>1490</v>
      </c>
      <c r="AG156" s="56" t="s">
        <v>1490</v>
      </c>
      <c r="AH156" s="56" t="s">
        <v>1490</v>
      </c>
      <c r="AI156" s="56" t="s">
        <v>1490</v>
      </c>
      <c r="AJ156" s="56" t="s">
        <v>1490</v>
      </c>
      <c r="AK156" s="56" t="s">
        <v>1490</v>
      </c>
    </row>
    <row r="157" spans="1:37" s="56" customFormat="1" ht="30" customHeight="1" x14ac:dyDescent="0.25">
      <c r="A157" s="56">
        <v>156</v>
      </c>
      <c r="B157" s="57" t="s">
        <v>186</v>
      </c>
      <c r="C157" s="57" t="s">
        <v>478</v>
      </c>
      <c r="H157" s="59">
        <v>44756</v>
      </c>
      <c r="I157" s="59">
        <v>44848</v>
      </c>
      <c r="J157" s="59" t="e">
        <f>VLOOKUP(Table1[[#This Row],[Project Code]],'[6]Combined Nov''25'!$E:$O,10,FALSE)</f>
        <v>#N/A</v>
      </c>
      <c r="K157" s="69" t="e">
        <f>VLOOKUP(Table1[[#This Row],[Project Code]],'[6]Combined Nov''25'!$E:$K,6,FALSE)</f>
        <v>#N/A</v>
      </c>
      <c r="L157" s="57" t="s">
        <v>767</v>
      </c>
      <c r="M157" s="56" t="s">
        <v>844</v>
      </c>
      <c r="N157" s="73" t="e">
        <f>VLOOKUP(Table1[[#This Row],[Project Code]],'[6]Combined Nov''25'!$E:$K,7,FALSE)</f>
        <v>#N/A</v>
      </c>
      <c r="O157" s="57" t="s">
        <v>857</v>
      </c>
      <c r="P157" s="56" t="s">
        <v>865</v>
      </c>
      <c r="Q157" s="57" t="s">
        <v>887</v>
      </c>
      <c r="T157" s="57" t="e">
        <f>VLOOKUP(Table1[[#This Row],[Project Code]],'[6]Combined Nov''25'!$E:$P,12,FALSE)</f>
        <v>#N/A</v>
      </c>
      <c r="U157" s="57" t="e">
        <v>#N/A</v>
      </c>
      <c r="V157" s="56" t="e">
        <v>#N/A</v>
      </c>
      <c r="W157" s="60" t="e">
        <v>#N/A</v>
      </c>
      <c r="X157" s="56" t="s">
        <v>1489</v>
      </c>
      <c r="Y157" s="56" t="s">
        <v>1489</v>
      </c>
      <c r="Z157" s="56" t="s">
        <v>1490</v>
      </c>
      <c r="AA157" s="56" t="s">
        <v>1490</v>
      </c>
      <c r="AB157" s="56" t="s">
        <v>1490</v>
      </c>
      <c r="AC157" s="56" t="s">
        <v>1490</v>
      </c>
      <c r="AD157" s="56" t="s">
        <v>1490</v>
      </c>
      <c r="AE157" s="56" t="s">
        <v>1490</v>
      </c>
      <c r="AF157" s="56" t="s">
        <v>1490</v>
      </c>
      <c r="AG157" s="56" t="s">
        <v>1490</v>
      </c>
      <c r="AH157" s="56" t="s">
        <v>1490</v>
      </c>
      <c r="AI157" s="56" t="s">
        <v>1490</v>
      </c>
      <c r="AJ157" s="56" t="s">
        <v>1490</v>
      </c>
      <c r="AK157" s="56" t="s">
        <v>1490</v>
      </c>
    </row>
    <row r="158" spans="1:37" s="56" customFormat="1" ht="30" customHeight="1" x14ac:dyDescent="0.25">
      <c r="A158" s="56">
        <v>157</v>
      </c>
      <c r="B158" s="57" t="s">
        <v>187</v>
      </c>
      <c r="C158" s="57" t="s">
        <v>479</v>
      </c>
      <c r="D158" s="56" t="s">
        <v>615</v>
      </c>
      <c r="E158" s="56" t="s">
        <v>644</v>
      </c>
      <c r="G158" s="56" t="str">
        <f>VLOOKUP(Table1[[#This Row],[Project Code]],[1]Combined!$E:$I,5,FALSE)</f>
        <v>Ongoing</v>
      </c>
      <c r="H158" s="59">
        <v>44756</v>
      </c>
      <c r="I158" s="59">
        <v>45121</v>
      </c>
      <c r="J158" s="59" t="str">
        <f>VLOOKUP(Table1[[#This Row],[Project Code]],'[6]Combined Nov''25'!$E:$O,10,FALSE)</f>
        <v>-</v>
      </c>
      <c r="K158" s="69" t="s">
        <v>695</v>
      </c>
      <c r="L158" s="69" t="s">
        <v>817</v>
      </c>
      <c r="M158" s="73" t="s">
        <v>843</v>
      </c>
      <c r="N158" s="73" t="s">
        <v>620</v>
      </c>
      <c r="O158" s="69" t="s">
        <v>863</v>
      </c>
      <c r="P158" s="73" t="s">
        <v>864</v>
      </c>
      <c r="Q158" s="57" t="s">
        <v>888</v>
      </c>
      <c r="T158" s="57" t="s">
        <v>1081</v>
      </c>
      <c r="U158" s="57" t="s">
        <v>1128</v>
      </c>
      <c r="V158" s="56" t="s">
        <v>1057</v>
      </c>
      <c r="W158" s="60" t="s">
        <v>1062</v>
      </c>
      <c r="X158" s="56" t="s">
        <v>1489</v>
      </c>
      <c r="Y158" s="56" t="s">
        <v>1489</v>
      </c>
      <c r="Z158" s="56" t="s">
        <v>1490</v>
      </c>
      <c r="AA158" s="56" t="s">
        <v>1490</v>
      </c>
      <c r="AB158" s="56" t="s">
        <v>1490</v>
      </c>
      <c r="AC158" s="56" t="s">
        <v>1490</v>
      </c>
      <c r="AD158" s="56" t="s">
        <v>1490</v>
      </c>
      <c r="AE158" s="56" t="s">
        <v>1490</v>
      </c>
      <c r="AF158" s="56" t="s">
        <v>1490</v>
      </c>
      <c r="AG158" s="56" t="s">
        <v>1490</v>
      </c>
      <c r="AH158" s="56" t="s">
        <v>1490</v>
      </c>
      <c r="AI158" s="56" t="s">
        <v>1490</v>
      </c>
      <c r="AJ158" s="56" t="s">
        <v>1490</v>
      </c>
      <c r="AK158" s="56" t="s">
        <v>1490</v>
      </c>
    </row>
    <row r="159" spans="1:37" s="56" customFormat="1" ht="30" customHeight="1" x14ac:dyDescent="0.25">
      <c r="A159" s="56">
        <v>158</v>
      </c>
      <c r="B159" s="57" t="s">
        <v>188</v>
      </c>
      <c r="C159" s="57" t="s">
        <v>480</v>
      </c>
      <c r="H159" s="59">
        <v>44782</v>
      </c>
      <c r="I159" s="59">
        <v>44904</v>
      </c>
      <c r="J159" s="59" t="e">
        <f>VLOOKUP(Table1[[#This Row],[Project Code]],'[6]Combined Nov''25'!$E:$O,10,FALSE)</f>
        <v>#N/A</v>
      </c>
      <c r="K159" s="69" t="e">
        <f>VLOOKUP(Table1[[#This Row],[Project Code]],'[6]Combined Nov''25'!$E:$K,6,FALSE)</f>
        <v>#N/A</v>
      </c>
      <c r="L159" s="57" t="s">
        <v>696</v>
      </c>
      <c r="M159" s="56" t="s">
        <v>843</v>
      </c>
      <c r="N159" s="73" t="e">
        <f>VLOOKUP(Table1[[#This Row],[Project Code]],'[6]Combined Nov''25'!$E:$K,7,FALSE)</f>
        <v>#N/A</v>
      </c>
      <c r="O159" s="57" t="s">
        <v>859</v>
      </c>
      <c r="P159" s="56" t="s">
        <v>864</v>
      </c>
      <c r="Q159" s="57" t="s">
        <v>887</v>
      </c>
      <c r="T159" s="57" t="e">
        <f>VLOOKUP(Table1[[#This Row],[Project Code]],'[6]Combined Nov''25'!$E:$P,12,FALSE)</f>
        <v>#N/A</v>
      </c>
      <c r="U159" s="57" t="e">
        <v>#N/A</v>
      </c>
      <c r="V159" s="56" t="e">
        <v>#N/A</v>
      </c>
      <c r="W159" s="60" t="e">
        <v>#N/A</v>
      </c>
      <c r="X159" s="56" t="s">
        <v>1489</v>
      </c>
      <c r="Y159" s="56" t="s">
        <v>1489</v>
      </c>
      <c r="Z159" s="56" t="s">
        <v>1490</v>
      </c>
      <c r="AA159" s="56" t="s">
        <v>1490</v>
      </c>
      <c r="AB159" s="56" t="s">
        <v>1490</v>
      </c>
      <c r="AC159" s="56" t="s">
        <v>1490</v>
      </c>
      <c r="AD159" s="56" t="s">
        <v>1490</v>
      </c>
      <c r="AE159" s="56" t="s">
        <v>1490</v>
      </c>
      <c r="AF159" s="56" t="s">
        <v>1490</v>
      </c>
      <c r="AG159" s="56" t="s">
        <v>1490</v>
      </c>
      <c r="AH159" s="56" t="s">
        <v>1490</v>
      </c>
      <c r="AI159" s="56" t="s">
        <v>1490</v>
      </c>
      <c r="AJ159" s="56" t="s">
        <v>1490</v>
      </c>
      <c r="AK159" s="56" t="s">
        <v>1490</v>
      </c>
    </row>
    <row r="160" spans="1:37" s="56" customFormat="1" ht="30" customHeight="1" x14ac:dyDescent="0.25">
      <c r="A160" s="56">
        <v>159</v>
      </c>
      <c r="B160" s="57" t="s">
        <v>189</v>
      </c>
      <c r="C160" s="57" t="s">
        <v>481</v>
      </c>
      <c r="H160" s="59">
        <v>44784</v>
      </c>
      <c r="I160" s="59">
        <v>44845</v>
      </c>
      <c r="J160" s="59" t="e">
        <f>VLOOKUP(Table1[[#This Row],[Project Code]],'[6]Combined Nov''25'!$E:$O,10,FALSE)</f>
        <v>#N/A</v>
      </c>
      <c r="K160" s="69" t="e">
        <f>VLOOKUP(Table1[[#This Row],[Project Code]],'[6]Combined Nov''25'!$E:$K,6,FALSE)</f>
        <v>#N/A</v>
      </c>
      <c r="L160" s="57" t="s">
        <v>696</v>
      </c>
      <c r="M160" s="56" t="s">
        <v>843</v>
      </c>
      <c r="N160" s="73" t="e">
        <f>VLOOKUP(Table1[[#This Row],[Project Code]],'[6]Combined Nov''25'!$E:$K,7,FALSE)</f>
        <v>#N/A</v>
      </c>
      <c r="O160" s="57" t="s">
        <v>859</v>
      </c>
      <c r="P160" s="56" t="s">
        <v>875</v>
      </c>
      <c r="Q160" s="57" t="s">
        <v>886</v>
      </c>
      <c r="T160" s="57" t="e">
        <f>VLOOKUP(Table1[[#This Row],[Project Code]],'[6]Combined Nov''25'!$E:$P,12,FALSE)</f>
        <v>#N/A</v>
      </c>
      <c r="U160" s="57" t="e">
        <v>#N/A</v>
      </c>
      <c r="V160" s="56" t="e">
        <v>#N/A</v>
      </c>
      <c r="W160" s="60" t="e">
        <v>#N/A</v>
      </c>
      <c r="X160" s="56" t="s">
        <v>1489</v>
      </c>
      <c r="Y160" s="56" t="s">
        <v>1489</v>
      </c>
      <c r="Z160" s="56" t="s">
        <v>1490</v>
      </c>
      <c r="AA160" s="56" t="s">
        <v>1490</v>
      </c>
      <c r="AB160" s="56" t="s">
        <v>1490</v>
      </c>
      <c r="AC160" s="56" t="s">
        <v>1490</v>
      </c>
      <c r="AD160" s="56" t="s">
        <v>1490</v>
      </c>
      <c r="AE160" s="56" t="s">
        <v>1490</v>
      </c>
      <c r="AF160" s="56" t="s">
        <v>1490</v>
      </c>
      <c r="AG160" s="56" t="s">
        <v>1490</v>
      </c>
      <c r="AH160" s="56" t="s">
        <v>1490</v>
      </c>
      <c r="AI160" s="56" t="s">
        <v>1490</v>
      </c>
      <c r="AJ160" s="56" t="s">
        <v>1490</v>
      </c>
      <c r="AK160" s="56" t="s">
        <v>1490</v>
      </c>
    </row>
    <row r="161" spans="1:37" s="56" customFormat="1" ht="30" customHeight="1" x14ac:dyDescent="0.25">
      <c r="A161" s="56">
        <v>160</v>
      </c>
      <c r="B161" s="57" t="s">
        <v>190</v>
      </c>
      <c r="C161" s="57" t="s">
        <v>482</v>
      </c>
      <c r="D161" s="56" t="s">
        <v>615</v>
      </c>
      <c r="E161" s="56" t="s">
        <v>644</v>
      </c>
      <c r="G161" s="56" t="str">
        <f>VLOOKUP(Table1[[#This Row],[Project Code]],[1]Combined!$E:$I,5,FALSE)</f>
        <v>Ongoing</v>
      </c>
      <c r="H161" s="59">
        <v>44783</v>
      </c>
      <c r="I161" s="59">
        <v>44967</v>
      </c>
      <c r="J161" s="59" t="str">
        <f>VLOOKUP(Table1[[#This Row],[Project Code]],'[6]Combined Nov''25'!$E:$O,10,FALSE)</f>
        <v>-</v>
      </c>
      <c r="K161" s="69" t="s">
        <v>695</v>
      </c>
      <c r="L161" s="69" t="s">
        <v>817</v>
      </c>
      <c r="M161" s="73" t="s">
        <v>843</v>
      </c>
      <c r="N161" s="73" t="s">
        <v>620</v>
      </c>
      <c r="O161" s="69" t="s">
        <v>863</v>
      </c>
      <c r="P161" s="73" t="s">
        <v>864</v>
      </c>
      <c r="Q161" s="57" t="s">
        <v>888</v>
      </c>
      <c r="T161" s="57" t="s">
        <v>1082</v>
      </c>
      <c r="U161" s="57" t="s">
        <v>1129</v>
      </c>
      <c r="V161" s="56" t="s">
        <v>1057</v>
      </c>
      <c r="W161" s="60" t="s">
        <v>1063</v>
      </c>
      <c r="X161" s="56" t="s">
        <v>1489</v>
      </c>
      <c r="Y161" s="56" t="s">
        <v>1489</v>
      </c>
      <c r="Z161" s="56" t="s">
        <v>1490</v>
      </c>
      <c r="AA161" s="56" t="s">
        <v>1490</v>
      </c>
      <c r="AB161" s="56" t="s">
        <v>1490</v>
      </c>
      <c r="AC161" s="56" t="s">
        <v>1490</v>
      </c>
      <c r="AD161" s="56" t="s">
        <v>1490</v>
      </c>
      <c r="AE161" s="56" t="s">
        <v>1490</v>
      </c>
      <c r="AF161" s="56" t="s">
        <v>1490</v>
      </c>
      <c r="AG161" s="56" t="s">
        <v>1490</v>
      </c>
      <c r="AH161" s="56" t="s">
        <v>1490</v>
      </c>
      <c r="AI161" s="56" t="s">
        <v>1490</v>
      </c>
      <c r="AJ161" s="56" t="s">
        <v>1490</v>
      </c>
      <c r="AK161" s="56" t="s">
        <v>1490</v>
      </c>
    </row>
    <row r="162" spans="1:37" s="56" customFormat="1" ht="30" customHeight="1" x14ac:dyDescent="0.25">
      <c r="A162" s="56">
        <v>161</v>
      </c>
      <c r="B162" s="57" t="s">
        <v>191</v>
      </c>
      <c r="C162" s="57" t="s">
        <v>483</v>
      </c>
      <c r="H162" s="59">
        <v>44791</v>
      </c>
      <c r="I162" s="59">
        <v>45156</v>
      </c>
      <c r="J162" s="59" t="e">
        <f>VLOOKUP(Table1[[#This Row],[Project Code]],'[6]Combined Nov''25'!$E:$O,10,FALSE)</f>
        <v>#N/A</v>
      </c>
      <c r="K162" s="57" t="s">
        <v>704</v>
      </c>
      <c r="L162" s="57"/>
      <c r="M162" s="56" t="s">
        <v>849</v>
      </c>
      <c r="N162" s="73" t="e">
        <f>VLOOKUP(Table1[[#This Row],[Project Code]],'[6]Combined Nov''25'!$E:$K,7,FALSE)</f>
        <v>#N/A</v>
      </c>
      <c r="O162" s="57" t="s">
        <v>861</v>
      </c>
      <c r="P162" s="56" t="s">
        <v>864</v>
      </c>
      <c r="Q162" s="57" t="s">
        <v>887</v>
      </c>
      <c r="T162" s="57" t="e">
        <f>VLOOKUP(Table1[[#This Row],[Project Code]],'[6]Combined Nov''25'!$E:$P,12,FALSE)</f>
        <v>#N/A</v>
      </c>
      <c r="U162" s="57" t="e">
        <v>#N/A</v>
      </c>
      <c r="V162" s="56" t="e">
        <v>#N/A</v>
      </c>
      <c r="W162" s="60" t="e">
        <v>#N/A</v>
      </c>
      <c r="X162" s="56" t="s">
        <v>1489</v>
      </c>
      <c r="Y162" s="56" t="s">
        <v>1489</v>
      </c>
      <c r="Z162" s="56" t="s">
        <v>1490</v>
      </c>
      <c r="AA162" s="56" t="s">
        <v>1490</v>
      </c>
      <c r="AB162" s="56" t="s">
        <v>1490</v>
      </c>
      <c r="AC162" s="56" t="s">
        <v>1490</v>
      </c>
      <c r="AD162" s="56" t="s">
        <v>1490</v>
      </c>
      <c r="AE162" s="56" t="s">
        <v>1490</v>
      </c>
      <c r="AF162" s="56" t="s">
        <v>1490</v>
      </c>
      <c r="AG162" s="56" t="s">
        <v>1490</v>
      </c>
      <c r="AH162" s="56" t="s">
        <v>1490</v>
      </c>
      <c r="AI162" s="56" t="s">
        <v>1490</v>
      </c>
      <c r="AJ162" s="56" t="s">
        <v>1490</v>
      </c>
      <c r="AK162" s="56" t="s">
        <v>1490</v>
      </c>
    </row>
    <row r="163" spans="1:37" s="56" customFormat="1" ht="30" customHeight="1" x14ac:dyDescent="0.25">
      <c r="A163" s="56">
        <v>162</v>
      </c>
      <c r="B163" s="57" t="s">
        <v>192</v>
      </c>
      <c r="C163" s="57" t="s">
        <v>484</v>
      </c>
      <c r="H163" s="59">
        <v>44819</v>
      </c>
      <c r="I163" s="59">
        <v>44957</v>
      </c>
      <c r="J163" s="59" t="e">
        <f>VLOOKUP(Table1[[#This Row],[Project Code]],'[6]Combined Nov''25'!$E:$O,10,FALSE)</f>
        <v>#N/A</v>
      </c>
      <c r="K163" s="57" t="s">
        <v>681</v>
      </c>
      <c r="L163" s="57"/>
      <c r="M163" s="56" t="s">
        <v>843</v>
      </c>
      <c r="N163" s="73" t="e">
        <f>VLOOKUP(Table1[[#This Row],[Project Code]],'[6]Combined Nov''25'!$E:$K,7,FALSE)</f>
        <v>#N/A</v>
      </c>
      <c r="O163" s="57" t="s">
        <v>855</v>
      </c>
      <c r="P163" s="56" t="s">
        <v>864</v>
      </c>
      <c r="Q163" s="57" t="s">
        <v>855</v>
      </c>
      <c r="T163" s="57" t="e">
        <f>VLOOKUP(Table1[[#This Row],[Project Code]],'[6]Combined Nov''25'!$E:$P,12,FALSE)</f>
        <v>#N/A</v>
      </c>
      <c r="U163" s="57" t="e">
        <v>#N/A</v>
      </c>
      <c r="V163" s="56" t="e">
        <v>#N/A</v>
      </c>
      <c r="W163" s="60" t="e">
        <v>#N/A</v>
      </c>
      <c r="X163" s="56" t="s">
        <v>1489</v>
      </c>
      <c r="Y163" s="56" t="s">
        <v>1489</v>
      </c>
      <c r="Z163" s="56" t="s">
        <v>1490</v>
      </c>
      <c r="AA163" s="56" t="s">
        <v>1490</v>
      </c>
      <c r="AB163" s="56" t="s">
        <v>1490</v>
      </c>
      <c r="AC163" s="56" t="s">
        <v>1490</v>
      </c>
      <c r="AD163" s="56" t="s">
        <v>1490</v>
      </c>
      <c r="AE163" s="56" t="s">
        <v>1490</v>
      </c>
      <c r="AF163" s="56" t="s">
        <v>1490</v>
      </c>
      <c r="AG163" s="56" t="s">
        <v>1490</v>
      </c>
      <c r="AH163" s="56" t="s">
        <v>1490</v>
      </c>
      <c r="AI163" s="56" t="s">
        <v>1490</v>
      </c>
      <c r="AJ163" s="56" t="s">
        <v>1490</v>
      </c>
      <c r="AK163" s="56" t="s">
        <v>1490</v>
      </c>
    </row>
    <row r="164" spans="1:37" s="56" customFormat="1" ht="30" customHeight="1" x14ac:dyDescent="0.25">
      <c r="A164" s="56">
        <v>163</v>
      </c>
      <c r="B164" s="57" t="s">
        <v>193</v>
      </c>
      <c r="C164" s="57" t="s">
        <v>485</v>
      </c>
      <c r="D164" s="56" t="s">
        <v>618</v>
      </c>
      <c r="E164" s="56" t="s">
        <v>643</v>
      </c>
      <c r="G164" s="56" t="s">
        <v>1492</v>
      </c>
      <c r="H164" s="59">
        <v>44798</v>
      </c>
      <c r="I164" s="59">
        <v>44985</v>
      </c>
      <c r="J164" s="59"/>
      <c r="K164" s="69" t="str">
        <f>VLOOKUP(Table1[[#This Row],[Project Code]],'[6]Combined Nov''25'!$E:$K,6,FALSE)</f>
        <v>MoRTH</v>
      </c>
      <c r="L164" s="57" t="s">
        <v>784</v>
      </c>
      <c r="M164" s="56" t="s">
        <v>843</v>
      </c>
      <c r="N164" s="56" t="s">
        <v>911</v>
      </c>
      <c r="O164" s="57" t="s">
        <v>863</v>
      </c>
      <c r="P164" s="56" t="s">
        <v>864</v>
      </c>
      <c r="Q164" s="57" t="s">
        <v>886</v>
      </c>
      <c r="T164" s="57" t="s">
        <v>963</v>
      </c>
      <c r="U164" s="57" t="s">
        <v>1130</v>
      </c>
      <c r="V164" s="56" t="s">
        <v>1057</v>
      </c>
      <c r="W164" s="60">
        <v>8794800</v>
      </c>
      <c r="X164" s="56" t="s">
        <v>1489</v>
      </c>
      <c r="Y164" s="56" t="s">
        <v>1489</v>
      </c>
      <c r="Z164" s="56" t="s">
        <v>1490</v>
      </c>
      <c r="AA164" s="56" t="s">
        <v>1490</v>
      </c>
      <c r="AB164" s="56" t="s">
        <v>1490</v>
      </c>
      <c r="AC164" s="56" t="s">
        <v>1490</v>
      </c>
      <c r="AD164" s="56" t="s">
        <v>1490</v>
      </c>
      <c r="AE164" s="56" t="s">
        <v>1490</v>
      </c>
      <c r="AF164" s="56" t="s">
        <v>1490</v>
      </c>
      <c r="AG164" s="56" t="s">
        <v>1490</v>
      </c>
      <c r="AH164" s="56" t="s">
        <v>1490</v>
      </c>
      <c r="AI164" s="56" t="s">
        <v>1490</v>
      </c>
      <c r="AJ164" s="56" t="s">
        <v>1490</v>
      </c>
      <c r="AK164" s="56" t="s">
        <v>1490</v>
      </c>
    </row>
    <row r="165" spans="1:37" s="56" customFormat="1" ht="30" customHeight="1" x14ac:dyDescent="0.25">
      <c r="A165" s="56">
        <v>164</v>
      </c>
      <c r="B165" s="57" t="s">
        <v>194</v>
      </c>
      <c r="C165" s="57" t="s">
        <v>486</v>
      </c>
      <c r="H165" s="59">
        <v>44805</v>
      </c>
      <c r="I165" s="59">
        <v>44986</v>
      </c>
      <c r="J165" s="59" t="e">
        <f>VLOOKUP(Table1[[#This Row],[Project Code]],'[6]Combined Nov''25'!$E:$O,10,FALSE)</f>
        <v>#N/A</v>
      </c>
      <c r="K165" s="69" t="e">
        <f>VLOOKUP(Table1[[#This Row],[Project Code]],'[6]Combined Nov''25'!$E:$K,6,FALSE)</f>
        <v>#N/A</v>
      </c>
      <c r="L165" s="57" t="s">
        <v>682</v>
      </c>
      <c r="M165" s="56" t="s">
        <v>843</v>
      </c>
      <c r="N165" s="73" t="e">
        <f>VLOOKUP(Table1[[#This Row],[Project Code]],'[6]Combined Nov''25'!$E:$K,7,FALSE)</f>
        <v>#N/A</v>
      </c>
      <c r="O165" s="57" t="s">
        <v>863</v>
      </c>
      <c r="P165" s="56" t="s">
        <v>864</v>
      </c>
      <c r="Q165" s="57" t="s">
        <v>855</v>
      </c>
      <c r="T165" s="57" t="e">
        <f>VLOOKUP(Table1[[#This Row],[Project Code]],'[6]Combined Nov''25'!$E:$P,12,FALSE)</f>
        <v>#N/A</v>
      </c>
      <c r="U165" s="57" t="e">
        <v>#N/A</v>
      </c>
      <c r="V165" s="56" t="e">
        <v>#N/A</v>
      </c>
      <c r="W165" s="60" t="e">
        <v>#N/A</v>
      </c>
      <c r="X165" s="56" t="s">
        <v>1489</v>
      </c>
      <c r="Y165" s="56" t="s">
        <v>1489</v>
      </c>
      <c r="Z165" s="56" t="s">
        <v>1489</v>
      </c>
      <c r="AA165" s="56" t="s">
        <v>1489</v>
      </c>
      <c r="AB165" s="56" t="s">
        <v>1489</v>
      </c>
      <c r="AC165" s="56" t="s">
        <v>1489</v>
      </c>
      <c r="AD165" s="56" t="s">
        <v>1489</v>
      </c>
      <c r="AE165" s="56" t="s">
        <v>1489</v>
      </c>
      <c r="AF165" s="56" t="s">
        <v>1489</v>
      </c>
      <c r="AG165" s="56" t="s">
        <v>1489</v>
      </c>
      <c r="AH165" s="56" t="s">
        <v>1489</v>
      </c>
      <c r="AI165" s="56" t="s">
        <v>1489</v>
      </c>
      <c r="AJ165" s="56" t="s">
        <v>1489</v>
      </c>
      <c r="AK165" s="56" t="s">
        <v>1489</v>
      </c>
    </row>
    <row r="166" spans="1:37" s="56" customFormat="1" ht="30" customHeight="1" x14ac:dyDescent="0.25">
      <c r="A166" s="56">
        <v>165</v>
      </c>
      <c r="B166" s="57" t="s">
        <v>195</v>
      </c>
      <c r="C166" s="57" t="s">
        <v>487</v>
      </c>
      <c r="D166" s="56" t="s">
        <v>619</v>
      </c>
      <c r="E166" s="56" t="s">
        <v>629</v>
      </c>
      <c r="G166" s="56" t="str">
        <f>VLOOKUP(Table1[[#This Row],[Project Code]],[1]Combined!$E:$I,5,FALSE)</f>
        <v>Ongoing</v>
      </c>
      <c r="H166" s="59"/>
      <c r="I166" s="59"/>
      <c r="J166" s="59" t="str">
        <f>VLOOKUP(Table1[[#This Row],[Project Code]],'[6]Combined Nov''25'!$E:$O,10,FALSE)</f>
        <v>Ongping project - multiple clients</v>
      </c>
      <c r="K166" s="69" t="s">
        <v>705</v>
      </c>
      <c r="L166" s="69"/>
      <c r="M166" s="73" t="s">
        <v>849</v>
      </c>
      <c r="N166" s="73" t="s">
        <v>895</v>
      </c>
      <c r="O166" s="69" t="s">
        <v>861</v>
      </c>
      <c r="P166" s="73" t="s">
        <v>864</v>
      </c>
      <c r="Q166" s="57" t="s">
        <v>887</v>
      </c>
      <c r="T166" s="57" t="s">
        <v>964</v>
      </c>
      <c r="U166" s="57" t="s">
        <v>1131</v>
      </c>
      <c r="V166" s="56" t="s">
        <v>1057</v>
      </c>
      <c r="W166" s="60">
        <v>0</v>
      </c>
      <c r="X166" s="56" t="s">
        <v>1489</v>
      </c>
      <c r="Y166" s="56" t="s">
        <v>1489</v>
      </c>
      <c r="Z166" s="56" t="s">
        <v>1490</v>
      </c>
      <c r="AA166" s="56" t="s">
        <v>1490</v>
      </c>
      <c r="AB166" s="56" t="s">
        <v>1490</v>
      </c>
      <c r="AC166" s="56" t="s">
        <v>1490</v>
      </c>
      <c r="AD166" s="56" t="s">
        <v>1490</v>
      </c>
      <c r="AE166" s="56" t="s">
        <v>1490</v>
      </c>
      <c r="AF166" s="56" t="s">
        <v>1490</v>
      </c>
      <c r="AG166" s="56" t="s">
        <v>1490</v>
      </c>
      <c r="AH166" s="56" t="s">
        <v>1490</v>
      </c>
      <c r="AI166" s="56" t="s">
        <v>1490</v>
      </c>
      <c r="AJ166" s="56" t="s">
        <v>1490</v>
      </c>
      <c r="AK166" s="56" t="s">
        <v>1490</v>
      </c>
    </row>
    <row r="167" spans="1:37" s="56" customFormat="1" ht="30" customHeight="1" x14ac:dyDescent="0.25">
      <c r="A167" s="56">
        <v>166</v>
      </c>
      <c r="B167" s="57" t="s">
        <v>196</v>
      </c>
      <c r="C167" s="57" t="s">
        <v>488</v>
      </c>
      <c r="H167" s="59">
        <v>44837</v>
      </c>
      <c r="I167" s="59"/>
      <c r="J167" s="59" t="e">
        <f>VLOOKUP(Table1[[#This Row],[Project Code]],'[6]Combined Nov''25'!$E:$O,10,FALSE)</f>
        <v>#N/A</v>
      </c>
      <c r="K167" s="69" t="e">
        <f>VLOOKUP(Table1[[#This Row],[Project Code]],'[6]Combined Nov''25'!$E:$K,6,FALSE)</f>
        <v>#N/A</v>
      </c>
      <c r="L167" s="57" t="s">
        <v>810</v>
      </c>
      <c r="M167" s="56" t="s">
        <v>843</v>
      </c>
      <c r="N167" s="73" t="e">
        <f>VLOOKUP(Table1[[#This Row],[Project Code]],'[6]Combined Nov''25'!$E:$K,7,FALSE)</f>
        <v>#N/A</v>
      </c>
      <c r="O167" s="57" t="s">
        <v>863</v>
      </c>
      <c r="P167" s="56" t="s">
        <v>870</v>
      </c>
      <c r="Q167" s="57" t="s">
        <v>886</v>
      </c>
      <c r="T167" s="57" t="e">
        <f>VLOOKUP(Table1[[#This Row],[Project Code]],'[6]Combined Nov''25'!$E:$P,12,FALSE)</f>
        <v>#N/A</v>
      </c>
      <c r="U167" s="57" t="e">
        <v>#N/A</v>
      </c>
      <c r="V167" s="56" t="e">
        <v>#N/A</v>
      </c>
      <c r="W167" s="60" t="e">
        <v>#N/A</v>
      </c>
      <c r="X167" s="56" t="s">
        <v>1489</v>
      </c>
      <c r="Y167" s="56" t="s">
        <v>1489</v>
      </c>
      <c r="Z167" s="56" t="s">
        <v>1490</v>
      </c>
      <c r="AA167" s="56" t="s">
        <v>1490</v>
      </c>
      <c r="AB167" s="56" t="s">
        <v>1490</v>
      </c>
      <c r="AC167" s="56" t="s">
        <v>1490</v>
      </c>
      <c r="AD167" s="56" t="s">
        <v>1490</v>
      </c>
      <c r="AE167" s="56" t="s">
        <v>1490</v>
      </c>
      <c r="AF167" s="56" t="s">
        <v>1490</v>
      </c>
      <c r="AG167" s="56" t="s">
        <v>1490</v>
      </c>
      <c r="AH167" s="56" t="s">
        <v>1490</v>
      </c>
      <c r="AI167" s="56" t="s">
        <v>1490</v>
      </c>
      <c r="AJ167" s="56" t="s">
        <v>1490</v>
      </c>
      <c r="AK167" s="56" t="s">
        <v>1490</v>
      </c>
    </row>
    <row r="168" spans="1:37" s="56" customFormat="1" ht="30" customHeight="1" x14ac:dyDescent="0.25">
      <c r="A168" s="56">
        <v>167</v>
      </c>
      <c r="B168" s="57" t="s">
        <v>197</v>
      </c>
      <c r="C168" s="57" t="s">
        <v>489</v>
      </c>
      <c r="D168" s="56" t="s">
        <v>622</v>
      </c>
      <c r="E168" s="56" t="s">
        <v>645</v>
      </c>
      <c r="G168" s="56" t="s">
        <v>1492</v>
      </c>
      <c r="H168" s="59">
        <v>44847</v>
      </c>
      <c r="I168" s="59">
        <v>44926</v>
      </c>
      <c r="J168" s="59" t="str">
        <f>VLOOKUP(Table1[[#This Row],[Project Code]],'[6]Combined Nov''25'!$E:$O,10,FALSE)</f>
        <v>NA</v>
      </c>
      <c r="K168" s="57" t="s">
        <v>691</v>
      </c>
      <c r="L168" s="57" t="s">
        <v>766</v>
      </c>
      <c r="M168" s="56" t="s">
        <v>843</v>
      </c>
      <c r="N168" s="56" t="s">
        <v>912</v>
      </c>
      <c r="O168" s="57" t="s">
        <v>858</v>
      </c>
      <c r="P168" s="56" t="s">
        <v>865</v>
      </c>
      <c r="Q168" s="57" t="s">
        <v>887</v>
      </c>
      <c r="T168" s="57" t="s">
        <v>965</v>
      </c>
      <c r="U168" s="57" t="s">
        <v>1132</v>
      </c>
      <c r="V168" s="56" t="s">
        <v>1057</v>
      </c>
      <c r="W168" s="60">
        <v>1396564</v>
      </c>
      <c r="X168" s="56" t="s">
        <v>1489</v>
      </c>
      <c r="Y168" s="56" t="s">
        <v>1489</v>
      </c>
      <c r="Z168" s="56" t="s">
        <v>1490</v>
      </c>
      <c r="AA168" s="56" t="s">
        <v>1490</v>
      </c>
      <c r="AB168" s="56" t="s">
        <v>1490</v>
      </c>
      <c r="AC168" s="56" t="s">
        <v>1490</v>
      </c>
      <c r="AD168" s="56" t="s">
        <v>1490</v>
      </c>
      <c r="AE168" s="56" t="s">
        <v>1490</v>
      </c>
      <c r="AF168" s="56" t="s">
        <v>1490</v>
      </c>
      <c r="AG168" s="56" t="s">
        <v>1490</v>
      </c>
      <c r="AH168" s="56" t="s">
        <v>1490</v>
      </c>
      <c r="AI168" s="56" t="s">
        <v>1490</v>
      </c>
      <c r="AJ168" s="56" t="s">
        <v>1490</v>
      </c>
      <c r="AK168" s="56" t="s">
        <v>1490</v>
      </c>
    </row>
    <row r="169" spans="1:37" s="56" customFormat="1" ht="30" customHeight="1" x14ac:dyDescent="0.25">
      <c r="A169" s="56">
        <v>168</v>
      </c>
      <c r="B169" s="57" t="s">
        <v>198</v>
      </c>
      <c r="C169" s="57" t="s">
        <v>490</v>
      </c>
      <c r="H169" s="59">
        <v>44845</v>
      </c>
      <c r="I169" s="59">
        <v>45239</v>
      </c>
      <c r="J169" s="59" t="e">
        <f>VLOOKUP(Table1[[#This Row],[Project Code]],'[6]Combined Nov''25'!$E:$O,10,FALSE)</f>
        <v>#N/A</v>
      </c>
      <c r="K169" s="69" t="e">
        <f>VLOOKUP(Table1[[#This Row],[Project Code]],'[6]Combined Nov''25'!$E:$K,6,FALSE)</f>
        <v>#N/A</v>
      </c>
      <c r="L169" s="57" t="s">
        <v>821</v>
      </c>
      <c r="M169" s="56" t="s">
        <v>843</v>
      </c>
      <c r="N169" s="73" t="e">
        <f>VLOOKUP(Table1[[#This Row],[Project Code]],'[6]Combined Nov''25'!$E:$K,7,FALSE)</f>
        <v>#N/A</v>
      </c>
      <c r="O169" s="57" t="s">
        <v>863</v>
      </c>
      <c r="P169" s="56" t="s">
        <v>864</v>
      </c>
      <c r="Q169" s="57" t="s">
        <v>886</v>
      </c>
      <c r="T169" s="57" t="e">
        <f>VLOOKUP(Table1[[#This Row],[Project Code]],'[6]Combined Nov''25'!$E:$P,12,FALSE)</f>
        <v>#N/A</v>
      </c>
      <c r="U169" s="57" t="e">
        <v>#N/A</v>
      </c>
      <c r="V169" s="56" t="e">
        <v>#N/A</v>
      </c>
      <c r="W169" s="60" t="e">
        <v>#N/A</v>
      </c>
      <c r="X169" s="56" t="s">
        <v>1489</v>
      </c>
      <c r="Y169" s="56" t="s">
        <v>1489</v>
      </c>
      <c r="Z169" s="56" t="s">
        <v>1490</v>
      </c>
      <c r="AA169" s="56" t="s">
        <v>1490</v>
      </c>
      <c r="AB169" s="56" t="s">
        <v>1490</v>
      </c>
      <c r="AC169" s="56" t="s">
        <v>1490</v>
      </c>
      <c r="AD169" s="56" t="s">
        <v>1490</v>
      </c>
      <c r="AE169" s="56" t="s">
        <v>1490</v>
      </c>
      <c r="AF169" s="56" t="s">
        <v>1490</v>
      </c>
      <c r="AG169" s="56" t="s">
        <v>1490</v>
      </c>
      <c r="AH169" s="56" t="s">
        <v>1490</v>
      </c>
      <c r="AI169" s="56" t="s">
        <v>1490</v>
      </c>
      <c r="AJ169" s="56" t="s">
        <v>1490</v>
      </c>
      <c r="AK169" s="56" t="s">
        <v>1490</v>
      </c>
    </row>
    <row r="170" spans="1:37" s="56" customFormat="1" ht="30" customHeight="1" x14ac:dyDescent="0.25">
      <c r="A170" s="56">
        <v>169</v>
      </c>
      <c r="B170" s="57" t="s">
        <v>199</v>
      </c>
      <c r="C170" s="57" t="s">
        <v>491</v>
      </c>
      <c r="D170" s="56" t="s">
        <v>619</v>
      </c>
      <c r="E170" s="56" t="s">
        <v>632</v>
      </c>
      <c r="G170" s="56" t="str">
        <f>VLOOKUP(Table1[[#This Row],[Project Code]],[1]Combined!$E:$I,5,FALSE)</f>
        <v>Completed</v>
      </c>
      <c r="H170" s="59">
        <v>44856</v>
      </c>
      <c r="I170" s="59">
        <v>45220</v>
      </c>
      <c r="J170" s="59"/>
      <c r="K170" s="69" t="str">
        <f>VLOOKUP(Table1[[#This Row],[Project Code]],'[6]Combined Nov''25'!$E:$K,6,FALSE)</f>
        <v xml:space="preserve">Lanco Amarkantak </v>
      </c>
      <c r="L170" s="69" t="s">
        <v>728</v>
      </c>
      <c r="M170" s="73" t="s">
        <v>849</v>
      </c>
      <c r="N170" s="73" t="s">
        <v>895</v>
      </c>
      <c r="O170" s="69" t="s">
        <v>861</v>
      </c>
      <c r="P170" s="73" t="s">
        <v>869</v>
      </c>
      <c r="Q170" s="57" t="s">
        <v>887</v>
      </c>
      <c r="T170" s="57" t="s">
        <v>966</v>
      </c>
      <c r="U170" s="57" t="s">
        <v>1133</v>
      </c>
      <c r="V170" s="56" t="s">
        <v>1057</v>
      </c>
      <c r="W170" s="60">
        <v>9000000</v>
      </c>
      <c r="X170" s="56" t="s">
        <v>1489</v>
      </c>
      <c r="Y170" s="56" t="s">
        <v>1489</v>
      </c>
      <c r="Z170" s="56" t="s">
        <v>1490</v>
      </c>
      <c r="AA170" s="56" t="s">
        <v>1490</v>
      </c>
      <c r="AB170" s="56" t="s">
        <v>1490</v>
      </c>
      <c r="AC170" s="56" t="s">
        <v>1490</v>
      </c>
      <c r="AD170" s="56" t="s">
        <v>1490</v>
      </c>
      <c r="AE170" s="56" t="s">
        <v>1490</v>
      </c>
      <c r="AF170" s="56" t="s">
        <v>1490</v>
      </c>
      <c r="AG170" s="56" t="s">
        <v>1490</v>
      </c>
      <c r="AH170" s="56" t="s">
        <v>1490</v>
      </c>
      <c r="AI170" s="56" t="s">
        <v>1490</v>
      </c>
      <c r="AJ170" s="56" t="s">
        <v>1490</v>
      </c>
      <c r="AK170" s="56" t="s">
        <v>1490</v>
      </c>
    </row>
    <row r="171" spans="1:37" s="56" customFormat="1" ht="30" customHeight="1" x14ac:dyDescent="0.25">
      <c r="A171" s="56">
        <v>170</v>
      </c>
      <c r="B171" s="57" t="s">
        <v>200</v>
      </c>
      <c r="C171" s="57" t="s">
        <v>492</v>
      </c>
      <c r="D171" s="56" t="s">
        <v>615</v>
      </c>
      <c r="E171" s="56" t="s">
        <v>644</v>
      </c>
      <c r="G171" s="56" t="str">
        <f>VLOOKUP(Table1[[#This Row],[Project Code]],[1]Combined!$E:$I,5,FALSE)</f>
        <v>Ongoing</v>
      </c>
      <c r="H171" s="59">
        <v>44701</v>
      </c>
      <c r="I171" s="59"/>
      <c r="J171" s="59">
        <f>VLOOKUP(Table1[[#This Row],[Project Code]],'[6]Combined Nov''25'!$E:$O,10,FALSE)</f>
        <v>46022</v>
      </c>
      <c r="K171" s="69" t="s">
        <v>691</v>
      </c>
      <c r="L171" s="69" t="s">
        <v>766</v>
      </c>
      <c r="M171" s="73" t="s">
        <v>843</v>
      </c>
      <c r="N171" s="73" t="s">
        <v>620</v>
      </c>
      <c r="O171" s="69" t="s">
        <v>863</v>
      </c>
      <c r="P171" s="73" t="s">
        <v>870</v>
      </c>
      <c r="Q171" s="57" t="s">
        <v>887</v>
      </c>
      <c r="T171" s="57" t="s">
        <v>967</v>
      </c>
      <c r="U171" s="57" t="s">
        <v>1134</v>
      </c>
      <c r="V171" s="56">
        <v>0</v>
      </c>
      <c r="W171" s="60" t="s">
        <v>1064</v>
      </c>
      <c r="X171" s="56" t="s">
        <v>1489</v>
      </c>
      <c r="Y171" s="56" t="s">
        <v>1489</v>
      </c>
      <c r="Z171" s="56" t="s">
        <v>1490</v>
      </c>
      <c r="AA171" s="56" t="s">
        <v>1490</v>
      </c>
      <c r="AB171" s="56" t="s">
        <v>1490</v>
      </c>
      <c r="AC171" s="56" t="s">
        <v>1490</v>
      </c>
      <c r="AD171" s="56" t="s">
        <v>1490</v>
      </c>
      <c r="AE171" s="56" t="s">
        <v>1490</v>
      </c>
      <c r="AF171" s="56" t="s">
        <v>1490</v>
      </c>
      <c r="AG171" s="56" t="s">
        <v>1490</v>
      </c>
      <c r="AH171" s="56" t="s">
        <v>1490</v>
      </c>
      <c r="AI171" s="56" t="s">
        <v>1490</v>
      </c>
      <c r="AJ171" s="56" t="s">
        <v>1490</v>
      </c>
      <c r="AK171" s="56" t="s">
        <v>1490</v>
      </c>
    </row>
    <row r="172" spans="1:37" s="56" customFormat="1" ht="30" customHeight="1" x14ac:dyDescent="0.25">
      <c r="A172" s="56">
        <v>171</v>
      </c>
      <c r="B172" s="57" t="s">
        <v>201</v>
      </c>
      <c r="C172" s="57" t="s">
        <v>493</v>
      </c>
      <c r="D172" s="56" t="s">
        <v>621</v>
      </c>
      <c r="E172" s="56" t="s">
        <v>639</v>
      </c>
      <c r="G172" s="56" t="s">
        <v>1492</v>
      </c>
      <c r="H172" s="59">
        <v>44902</v>
      </c>
      <c r="I172" s="59">
        <v>45023</v>
      </c>
      <c r="J172" s="59"/>
      <c r="K172" s="69" t="str">
        <f>VLOOKUP(Table1[[#This Row],[Project Code]],'[6]Combined Nov''25'!$E:$K,6,FALSE)</f>
        <v>Samagra Shiksha, Department of Education, AP</v>
      </c>
      <c r="L172" s="57" t="s">
        <v>814</v>
      </c>
      <c r="M172" s="56" t="s">
        <v>844</v>
      </c>
      <c r="N172" s="56" t="s">
        <v>913</v>
      </c>
      <c r="O172" s="57" t="s">
        <v>858</v>
      </c>
      <c r="P172" s="56" t="s">
        <v>877</v>
      </c>
      <c r="Q172" s="57" t="s">
        <v>887</v>
      </c>
      <c r="T172" s="57" t="s">
        <v>968</v>
      </c>
      <c r="U172" s="57" t="s">
        <v>1135</v>
      </c>
      <c r="V172" s="56" t="s">
        <v>1057</v>
      </c>
      <c r="W172" s="60">
        <v>12509160</v>
      </c>
      <c r="X172" s="56" t="s">
        <v>1489</v>
      </c>
      <c r="Y172" s="56" t="s">
        <v>1489</v>
      </c>
      <c r="Z172" s="56" t="s">
        <v>1490</v>
      </c>
      <c r="AA172" s="56" t="s">
        <v>1490</v>
      </c>
      <c r="AB172" s="56" t="s">
        <v>1490</v>
      </c>
      <c r="AC172" s="56" t="s">
        <v>1490</v>
      </c>
      <c r="AD172" s="56" t="s">
        <v>1490</v>
      </c>
      <c r="AE172" s="56" t="s">
        <v>1490</v>
      </c>
      <c r="AF172" s="56" t="s">
        <v>1490</v>
      </c>
      <c r="AG172" s="56" t="s">
        <v>1490</v>
      </c>
      <c r="AH172" s="56" t="s">
        <v>1490</v>
      </c>
      <c r="AI172" s="56" t="s">
        <v>1490</v>
      </c>
      <c r="AJ172" s="56" t="s">
        <v>1490</v>
      </c>
      <c r="AK172" s="56" t="s">
        <v>1490</v>
      </c>
    </row>
    <row r="173" spans="1:37" s="56" customFormat="1" ht="30" customHeight="1" x14ac:dyDescent="0.25">
      <c r="A173" s="56">
        <v>172</v>
      </c>
      <c r="B173" s="57" t="s">
        <v>202</v>
      </c>
      <c r="C173" s="57" t="s">
        <v>494</v>
      </c>
      <c r="D173" s="56" t="s">
        <v>619</v>
      </c>
      <c r="E173" s="56" t="s">
        <v>632</v>
      </c>
      <c r="G173" s="56" t="str">
        <f>VLOOKUP(Table1[[#This Row],[Project Code]],[1]Combined!$E:$I,5,FALSE)</f>
        <v>Completed</v>
      </c>
      <c r="H173" s="59">
        <v>44887</v>
      </c>
      <c r="I173" s="59">
        <v>45252</v>
      </c>
      <c r="J173" s="59"/>
      <c r="K173" s="69" t="s">
        <v>706</v>
      </c>
      <c r="L173" s="69"/>
      <c r="M173" s="73" t="s">
        <v>847</v>
      </c>
      <c r="N173" s="73" t="s">
        <v>895</v>
      </c>
      <c r="O173" s="69" t="s">
        <v>861</v>
      </c>
      <c r="P173" s="73" t="s">
        <v>864</v>
      </c>
      <c r="Q173" s="57" t="s">
        <v>887</v>
      </c>
      <c r="T173" s="57" t="s">
        <v>969</v>
      </c>
      <c r="U173" s="57" t="s">
        <v>1136</v>
      </c>
      <c r="V173" s="56" t="s">
        <v>1057</v>
      </c>
      <c r="W173" s="60">
        <v>800000</v>
      </c>
      <c r="X173" s="56" t="s">
        <v>1489</v>
      </c>
      <c r="Y173" s="56" t="s">
        <v>1489</v>
      </c>
      <c r="Z173" s="56" t="s">
        <v>1490</v>
      </c>
      <c r="AA173" s="56" t="s">
        <v>1490</v>
      </c>
      <c r="AB173" s="56" t="s">
        <v>1490</v>
      </c>
      <c r="AC173" s="56" t="s">
        <v>1490</v>
      </c>
      <c r="AD173" s="56" t="s">
        <v>1490</v>
      </c>
      <c r="AE173" s="56" t="s">
        <v>1490</v>
      </c>
      <c r="AF173" s="56" t="s">
        <v>1490</v>
      </c>
      <c r="AG173" s="56" t="s">
        <v>1490</v>
      </c>
      <c r="AH173" s="56" t="s">
        <v>1490</v>
      </c>
      <c r="AI173" s="56" t="s">
        <v>1490</v>
      </c>
      <c r="AJ173" s="56" t="s">
        <v>1490</v>
      </c>
      <c r="AK173" s="56" t="s">
        <v>1490</v>
      </c>
    </row>
    <row r="174" spans="1:37" s="56" customFormat="1" ht="30" customHeight="1" x14ac:dyDescent="0.25">
      <c r="A174" s="56">
        <v>173</v>
      </c>
      <c r="B174" s="57" t="s">
        <v>203</v>
      </c>
      <c r="C174" s="57" t="s">
        <v>495</v>
      </c>
      <c r="D174" s="56" t="s">
        <v>622</v>
      </c>
      <c r="E174" s="56" t="s">
        <v>645</v>
      </c>
      <c r="G174" s="56" t="s">
        <v>1492</v>
      </c>
      <c r="H174" s="59">
        <v>44910</v>
      </c>
      <c r="I174" s="59">
        <v>44975</v>
      </c>
      <c r="J174" s="59" t="str">
        <f>VLOOKUP(Table1[[#This Row],[Project Code]],'[6]Combined Nov''25'!$E:$O,10,FALSE)</f>
        <v>NA</v>
      </c>
      <c r="K174" s="57" t="s">
        <v>691</v>
      </c>
      <c r="L174" s="57" t="s">
        <v>766</v>
      </c>
      <c r="M174" s="56" t="s">
        <v>843</v>
      </c>
      <c r="N174" s="56" t="s">
        <v>912</v>
      </c>
      <c r="O174" s="57" t="s">
        <v>858</v>
      </c>
      <c r="P174" s="56" t="s">
        <v>880</v>
      </c>
      <c r="Q174" s="57" t="s">
        <v>887</v>
      </c>
      <c r="T174" s="57" t="s">
        <v>970</v>
      </c>
      <c r="U174" s="57" t="s">
        <v>1137</v>
      </c>
      <c r="V174" s="56" t="s">
        <v>1057</v>
      </c>
      <c r="W174" s="60">
        <v>2490880</v>
      </c>
      <c r="X174" s="56" t="s">
        <v>1489</v>
      </c>
      <c r="Y174" s="56" t="s">
        <v>1489</v>
      </c>
      <c r="Z174" s="56" t="s">
        <v>1490</v>
      </c>
      <c r="AA174" s="56" t="s">
        <v>1490</v>
      </c>
      <c r="AB174" s="56" t="s">
        <v>1490</v>
      </c>
      <c r="AC174" s="56" t="s">
        <v>1490</v>
      </c>
      <c r="AD174" s="56" t="s">
        <v>1490</v>
      </c>
      <c r="AE174" s="56" t="s">
        <v>1490</v>
      </c>
      <c r="AF174" s="56" t="s">
        <v>1490</v>
      </c>
      <c r="AG174" s="56" t="s">
        <v>1490</v>
      </c>
      <c r="AH174" s="56" t="s">
        <v>1490</v>
      </c>
      <c r="AI174" s="56" t="s">
        <v>1490</v>
      </c>
      <c r="AJ174" s="56" t="s">
        <v>1490</v>
      </c>
      <c r="AK174" s="56" t="s">
        <v>1490</v>
      </c>
    </row>
    <row r="175" spans="1:37" s="56" customFormat="1" ht="30" customHeight="1" x14ac:dyDescent="0.25">
      <c r="A175" s="56">
        <v>174</v>
      </c>
      <c r="B175" s="57" t="s">
        <v>204</v>
      </c>
      <c r="C175" s="57" t="s">
        <v>496</v>
      </c>
      <c r="D175" s="56" t="s">
        <v>617</v>
      </c>
      <c r="E175" s="56" t="s">
        <v>638</v>
      </c>
      <c r="G175" s="56" t="s">
        <v>1492</v>
      </c>
      <c r="H175" s="59"/>
      <c r="I175" s="59"/>
      <c r="J175" s="59"/>
      <c r="K175" s="57" t="s">
        <v>707</v>
      </c>
      <c r="L175" s="57"/>
      <c r="M175" s="56" t="s">
        <v>847</v>
      </c>
      <c r="N175" s="56" t="s">
        <v>909</v>
      </c>
      <c r="O175" s="57" t="s">
        <v>860</v>
      </c>
      <c r="P175" s="56" t="s">
        <v>864</v>
      </c>
      <c r="Q175" s="57" t="s">
        <v>887</v>
      </c>
      <c r="T175" s="57" t="s">
        <v>971</v>
      </c>
      <c r="U175" s="57" t="s">
        <v>1138</v>
      </c>
      <c r="V175" s="56" t="s">
        <v>1057</v>
      </c>
      <c r="W175" s="60">
        <v>9294880</v>
      </c>
      <c r="X175" s="56" t="s">
        <v>1489</v>
      </c>
      <c r="Y175" s="56" t="s">
        <v>1489</v>
      </c>
      <c r="Z175" s="56" t="s">
        <v>1490</v>
      </c>
      <c r="AA175" s="56" t="s">
        <v>1490</v>
      </c>
      <c r="AB175" s="56" t="s">
        <v>1490</v>
      </c>
      <c r="AC175" s="56" t="s">
        <v>1490</v>
      </c>
      <c r="AD175" s="56" t="s">
        <v>1490</v>
      </c>
      <c r="AE175" s="56" t="s">
        <v>1490</v>
      </c>
      <c r="AF175" s="56" t="s">
        <v>1490</v>
      </c>
      <c r="AG175" s="56" t="s">
        <v>1490</v>
      </c>
      <c r="AH175" s="56" t="s">
        <v>1490</v>
      </c>
      <c r="AI175" s="56" t="s">
        <v>1490</v>
      </c>
      <c r="AJ175" s="56" t="s">
        <v>1490</v>
      </c>
      <c r="AK175" s="56" t="s">
        <v>1490</v>
      </c>
    </row>
    <row r="176" spans="1:37" s="56" customFormat="1" ht="30" customHeight="1" x14ac:dyDescent="0.25">
      <c r="A176" s="56">
        <v>175</v>
      </c>
      <c r="B176" s="57" t="s">
        <v>205</v>
      </c>
      <c r="C176" s="57" t="s">
        <v>497</v>
      </c>
      <c r="D176" s="56" t="s">
        <v>616</v>
      </c>
      <c r="E176" s="56" t="s">
        <v>636</v>
      </c>
      <c r="G176" s="56" t="str">
        <f>VLOOKUP(Table1[[#This Row],[Project Code]],[1]Combined!$E:$I,5,FALSE)</f>
        <v>Completed</v>
      </c>
      <c r="H176" s="59">
        <v>44925</v>
      </c>
      <c r="I176" s="59">
        <v>45107</v>
      </c>
      <c r="J176" s="59"/>
      <c r="K176" s="69" t="s">
        <v>708</v>
      </c>
      <c r="L176" s="69" t="s">
        <v>804</v>
      </c>
      <c r="M176" s="73" t="s">
        <v>843</v>
      </c>
      <c r="N176" s="73" t="s">
        <v>859</v>
      </c>
      <c r="O176" s="69" t="s">
        <v>859</v>
      </c>
      <c r="P176" s="73" t="s">
        <v>864</v>
      </c>
      <c r="Q176" s="57" t="s">
        <v>887</v>
      </c>
      <c r="T176" s="57" t="s">
        <v>972</v>
      </c>
      <c r="U176" s="57" t="s">
        <v>1139</v>
      </c>
      <c r="V176" s="56">
        <v>0</v>
      </c>
      <c r="W176" s="60">
        <v>3095680</v>
      </c>
      <c r="X176" s="56" t="s">
        <v>1489</v>
      </c>
      <c r="Y176" s="56" t="s">
        <v>1489</v>
      </c>
      <c r="Z176" s="56" t="s">
        <v>1490</v>
      </c>
      <c r="AA176" s="56" t="s">
        <v>1490</v>
      </c>
      <c r="AB176" s="56" t="s">
        <v>1490</v>
      </c>
      <c r="AC176" s="56" t="s">
        <v>1490</v>
      </c>
      <c r="AD176" s="56" t="s">
        <v>1490</v>
      </c>
      <c r="AE176" s="56" t="s">
        <v>1490</v>
      </c>
      <c r="AF176" s="56" t="s">
        <v>1490</v>
      </c>
      <c r="AG176" s="56" t="s">
        <v>1490</v>
      </c>
      <c r="AH176" s="56" t="s">
        <v>1490</v>
      </c>
      <c r="AI176" s="56" t="s">
        <v>1490</v>
      </c>
      <c r="AJ176" s="56" t="s">
        <v>1490</v>
      </c>
      <c r="AK176" s="56" t="s">
        <v>1490</v>
      </c>
    </row>
    <row r="177" spans="1:37" s="56" customFormat="1" ht="30" customHeight="1" x14ac:dyDescent="0.25">
      <c r="A177" s="56">
        <v>176</v>
      </c>
      <c r="B177" s="57" t="s">
        <v>206</v>
      </c>
      <c r="C177" s="57" t="s">
        <v>498</v>
      </c>
      <c r="D177" s="56" t="s">
        <v>618</v>
      </c>
      <c r="E177" s="56" t="s">
        <v>643</v>
      </c>
      <c r="G177" s="56" t="s">
        <v>1492</v>
      </c>
      <c r="H177" s="59">
        <v>44930</v>
      </c>
      <c r="I177" s="59">
        <v>45291</v>
      </c>
      <c r="J177" s="59"/>
      <c r="K177" s="57" t="s">
        <v>709</v>
      </c>
      <c r="L177" s="57" t="s">
        <v>767</v>
      </c>
      <c r="M177" s="56" t="s">
        <v>844</v>
      </c>
      <c r="N177" s="56" t="s">
        <v>911</v>
      </c>
      <c r="O177" s="57" t="s">
        <v>857</v>
      </c>
      <c r="P177" s="56" t="s">
        <v>865</v>
      </c>
      <c r="Q177" s="57" t="s">
        <v>887</v>
      </c>
      <c r="T177" s="57" t="s">
        <v>973</v>
      </c>
      <c r="U177" s="57" t="s">
        <v>1140</v>
      </c>
      <c r="V177" s="56" t="s">
        <v>1057</v>
      </c>
      <c r="W177" s="60">
        <v>2714946.78</v>
      </c>
      <c r="X177" s="56" t="s">
        <v>1489</v>
      </c>
      <c r="Y177" s="56" t="s">
        <v>1489</v>
      </c>
      <c r="Z177" s="56" t="s">
        <v>1490</v>
      </c>
      <c r="AA177" s="56" t="s">
        <v>1490</v>
      </c>
      <c r="AB177" s="56" t="s">
        <v>1490</v>
      </c>
      <c r="AC177" s="56" t="s">
        <v>1490</v>
      </c>
      <c r="AD177" s="56" t="s">
        <v>1490</v>
      </c>
      <c r="AE177" s="56" t="s">
        <v>1490</v>
      </c>
      <c r="AF177" s="56" t="s">
        <v>1490</v>
      </c>
      <c r="AG177" s="56" t="s">
        <v>1490</v>
      </c>
      <c r="AH177" s="56" t="s">
        <v>1490</v>
      </c>
      <c r="AI177" s="56" t="s">
        <v>1490</v>
      </c>
      <c r="AJ177" s="56" t="s">
        <v>1490</v>
      </c>
      <c r="AK177" s="56" t="s">
        <v>1490</v>
      </c>
    </row>
    <row r="178" spans="1:37" s="56" customFormat="1" ht="30" customHeight="1" x14ac:dyDescent="0.25">
      <c r="A178" s="56">
        <v>177</v>
      </c>
      <c r="B178" s="57" t="s">
        <v>207</v>
      </c>
      <c r="C178" s="57" t="s">
        <v>499</v>
      </c>
      <c r="D178" s="56" t="s">
        <v>617</v>
      </c>
      <c r="E178" s="56" t="s">
        <v>646</v>
      </c>
      <c r="G178" s="56" t="s">
        <v>1492</v>
      </c>
      <c r="H178" s="59">
        <v>44938</v>
      </c>
      <c r="I178" s="59">
        <v>44985</v>
      </c>
      <c r="J178" s="59">
        <f>VLOOKUP(Table1[[#This Row],[Project Code]],'[6]Combined Nov''25'!$E:$O,10,FALSE)</f>
        <v>45205</v>
      </c>
      <c r="K178" s="69" t="str">
        <f>VLOOKUP(Table1[[#This Row],[Project Code]],'[6]Combined Nov''25'!$E:$K,6,FALSE)</f>
        <v>Ministry of Housing and Urban Affairs (MoHUA)</v>
      </c>
      <c r="L178" s="57" t="s">
        <v>696</v>
      </c>
      <c r="M178" s="56" t="s">
        <v>843</v>
      </c>
      <c r="N178" s="56" t="s">
        <v>914</v>
      </c>
      <c r="O178" s="57" t="s">
        <v>863</v>
      </c>
      <c r="P178" s="56" t="s">
        <v>864</v>
      </c>
      <c r="Q178" s="57" t="s">
        <v>886</v>
      </c>
      <c r="T178" s="57" t="s">
        <v>974</v>
      </c>
      <c r="U178" s="57" t="s">
        <v>1141</v>
      </c>
      <c r="V178" s="56" t="s">
        <v>1057</v>
      </c>
      <c r="W178" s="60">
        <v>4525498</v>
      </c>
      <c r="X178" s="56" t="s">
        <v>1489</v>
      </c>
      <c r="Y178" s="56" t="s">
        <v>1489</v>
      </c>
      <c r="Z178" s="56" t="s">
        <v>1490</v>
      </c>
      <c r="AA178" s="56" t="s">
        <v>1490</v>
      </c>
      <c r="AB178" s="56" t="s">
        <v>1490</v>
      </c>
      <c r="AC178" s="56" t="s">
        <v>1490</v>
      </c>
      <c r="AD178" s="56" t="s">
        <v>1490</v>
      </c>
      <c r="AE178" s="56" t="s">
        <v>1490</v>
      </c>
      <c r="AF178" s="56" t="s">
        <v>1490</v>
      </c>
      <c r="AG178" s="56" t="s">
        <v>1490</v>
      </c>
      <c r="AH178" s="56" t="s">
        <v>1490</v>
      </c>
      <c r="AI178" s="56" t="s">
        <v>1490</v>
      </c>
      <c r="AJ178" s="56" t="s">
        <v>1490</v>
      </c>
      <c r="AK178" s="56" t="s">
        <v>1490</v>
      </c>
    </row>
    <row r="179" spans="1:37" s="56" customFormat="1" ht="30" customHeight="1" x14ac:dyDescent="0.25">
      <c r="A179" s="56">
        <v>178</v>
      </c>
      <c r="B179" s="57" t="s">
        <v>208</v>
      </c>
      <c r="C179" s="57" t="s">
        <v>500</v>
      </c>
      <c r="D179" s="56" t="s">
        <v>615</v>
      </c>
      <c r="E179" s="56" t="s">
        <v>624</v>
      </c>
      <c r="G179" s="56" t="s">
        <v>1492</v>
      </c>
      <c r="H179" s="59"/>
      <c r="I179" s="59"/>
      <c r="K179" s="57" t="s">
        <v>710</v>
      </c>
      <c r="L179" s="57" t="s">
        <v>696</v>
      </c>
      <c r="M179" s="56" t="s">
        <v>843</v>
      </c>
      <c r="N179" s="56" t="s">
        <v>915</v>
      </c>
      <c r="O179" s="57" t="s">
        <v>859</v>
      </c>
      <c r="P179" s="56" t="s">
        <v>864</v>
      </c>
      <c r="Q179" s="57" t="s">
        <v>887</v>
      </c>
      <c r="T179" s="57" t="s">
        <v>975</v>
      </c>
      <c r="U179" s="57" t="s">
        <v>1142</v>
      </c>
      <c r="V179" s="56">
        <v>0</v>
      </c>
      <c r="W179" s="60">
        <v>132411267</v>
      </c>
      <c r="X179" s="56" t="s">
        <v>1489</v>
      </c>
      <c r="Y179" s="56" t="s">
        <v>1489</v>
      </c>
      <c r="Z179" s="56" t="s">
        <v>1490</v>
      </c>
      <c r="AA179" s="56" t="s">
        <v>1490</v>
      </c>
      <c r="AB179" s="56" t="s">
        <v>1490</v>
      </c>
      <c r="AC179" s="56" t="s">
        <v>1490</v>
      </c>
      <c r="AD179" s="56" t="s">
        <v>1490</v>
      </c>
      <c r="AE179" s="56" t="s">
        <v>1490</v>
      </c>
      <c r="AF179" s="56" t="s">
        <v>1490</v>
      </c>
      <c r="AG179" s="56" t="s">
        <v>1490</v>
      </c>
      <c r="AH179" s="56" t="s">
        <v>1490</v>
      </c>
      <c r="AI179" s="56" t="s">
        <v>1490</v>
      </c>
      <c r="AJ179" s="56" t="s">
        <v>1490</v>
      </c>
      <c r="AK179" s="56" t="s">
        <v>1490</v>
      </c>
    </row>
    <row r="180" spans="1:37" s="56" customFormat="1" ht="30" customHeight="1" x14ac:dyDescent="0.25">
      <c r="A180" s="56">
        <v>179</v>
      </c>
      <c r="B180" s="57" t="s">
        <v>209</v>
      </c>
      <c r="C180" s="57" t="s">
        <v>501</v>
      </c>
      <c r="H180" s="59">
        <v>44942</v>
      </c>
      <c r="I180" s="59">
        <v>44977</v>
      </c>
      <c r="J180" s="56" t="e">
        <f>VLOOKUP(Table1[[#This Row],[Project Code]],'[6]Combined Nov''25'!$E:$O,10,FALSE)</f>
        <v>#N/A</v>
      </c>
      <c r="K180" s="69" t="e">
        <f>VLOOKUP(Table1[[#This Row],[Project Code]],'[6]Combined Nov''25'!$E:$K,6,FALSE)</f>
        <v>#N/A</v>
      </c>
      <c r="L180" s="57" t="s">
        <v>767</v>
      </c>
      <c r="M180" s="56" t="s">
        <v>844</v>
      </c>
      <c r="N180" s="73" t="e">
        <f>VLOOKUP(Table1[[#This Row],[Project Code]],'[6]Combined Nov''25'!$E:$K,7,FALSE)</f>
        <v>#N/A</v>
      </c>
      <c r="O180" s="57" t="s">
        <v>857</v>
      </c>
      <c r="P180" s="56" t="s">
        <v>865</v>
      </c>
      <c r="Q180" s="57" t="s">
        <v>887</v>
      </c>
      <c r="T180" s="57" t="e">
        <f>VLOOKUP(Table1[[#This Row],[Project Code]],'[6]Combined Nov''25'!$E:$P,12,FALSE)</f>
        <v>#N/A</v>
      </c>
      <c r="U180" s="57" t="e">
        <v>#N/A</v>
      </c>
      <c r="V180" s="56" t="e">
        <v>#N/A</v>
      </c>
      <c r="W180" s="60" t="e">
        <v>#N/A</v>
      </c>
      <c r="X180" s="56" t="s">
        <v>1489</v>
      </c>
      <c r="Y180" s="56" t="s">
        <v>1489</v>
      </c>
      <c r="Z180" s="56" t="s">
        <v>1490</v>
      </c>
      <c r="AA180" s="56" t="s">
        <v>1490</v>
      </c>
      <c r="AB180" s="56" t="s">
        <v>1490</v>
      </c>
      <c r="AC180" s="56" t="s">
        <v>1490</v>
      </c>
      <c r="AD180" s="56" t="s">
        <v>1490</v>
      </c>
      <c r="AE180" s="56" t="s">
        <v>1490</v>
      </c>
      <c r="AF180" s="56" t="s">
        <v>1490</v>
      </c>
      <c r="AG180" s="56" t="s">
        <v>1490</v>
      </c>
      <c r="AH180" s="56" t="s">
        <v>1490</v>
      </c>
      <c r="AI180" s="56" t="s">
        <v>1490</v>
      </c>
      <c r="AJ180" s="56" t="s">
        <v>1490</v>
      </c>
      <c r="AK180" s="56" t="s">
        <v>1490</v>
      </c>
    </row>
    <row r="181" spans="1:37" s="56" customFormat="1" ht="30" customHeight="1" x14ac:dyDescent="0.25">
      <c r="A181" s="56">
        <v>180</v>
      </c>
      <c r="B181" s="57" t="s">
        <v>210</v>
      </c>
      <c r="C181" s="57" t="s">
        <v>502</v>
      </c>
      <c r="H181" s="59">
        <v>44943</v>
      </c>
      <c r="I181" s="59">
        <v>44977</v>
      </c>
      <c r="J181" s="56" t="e">
        <f>VLOOKUP(Table1[[#This Row],[Project Code]],'[6]Combined Nov''25'!$E:$O,10,FALSE)</f>
        <v>#N/A</v>
      </c>
      <c r="K181" s="57" t="s">
        <v>711</v>
      </c>
      <c r="L181" s="57" t="s">
        <v>767</v>
      </c>
      <c r="M181" s="56" t="s">
        <v>852</v>
      </c>
      <c r="N181" s="73" t="e">
        <f>VLOOKUP(Table1[[#This Row],[Project Code]],'[6]Combined Nov''25'!$E:$K,7,FALSE)</f>
        <v>#N/A</v>
      </c>
      <c r="O181" s="57" t="s">
        <v>857</v>
      </c>
      <c r="P181" s="56" t="s">
        <v>865</v>
      </c>
      <c r="Q181" s="57" t="s">
        <v>887</v>
      </c>
      <c r="T181" s="57" t="e">
        <f>VLOOKUP(Table1[[#This Row],[Project Code]],'[6]Combined Nov''25'!$E:$P,12,FALSE)</f>
        <v>#N/A</v>
      </c>
      <c r="U181" s="57" t="e">
        <v>#N/A</v>
      </c>
      <c r="V181" s="56" t="e">
        <v>#N/A</v>
      </c>
      <c r="W181" s="60" t="e">
        <v>#N/A</v>
      </c>
      <c r="X181" s="56" t="s">
        <v>1489</v>
      </c>
      <c r="Y181" s="56" t="s">
        <v>1489</v>
      </c>
      <c r="Z181" s="56" t="s">
        <v>1490</v>
      </c>
      <c r="AA181" s="56" t="s">
        <v>1490</v>
      </c>
      <c r="AB181" s="56" t="s">
        <v>1490</v>
      </c>
      <c r="AC181" s="56" t="s">
        <v>1490</v>
      </c>
      <c r="AD181" s="56" t="s">
        <v>1490</v>
      </c>
      <c r="AE181" s="56" t="s">
        <v>1490</v>
      </c>
      <c r="AF181" s="56" t="s">
        <v>1490</v>
      </c>
      <c r="AG181" s="56" t="s">
        <v>1490</v>
      </c>
      <c r="AH181" s="56" t="s">
        <v>1490</v>
      </c>
      <c r="AI181" s="56" t="s">
        <v>1490</v>
      </c>
      <c r="AJ181" s="56" t="s">
        <v>1490</v>
      </c>
      <c r="AK181" s="56" t="s">
        <v>1490</v>
      </c>
    </row>
    <row r="182" spans="1:37" s="56" customFormat="1" ht="30" customHeight="1" x14ac:dyDescent="0.25">
      <c r="A182" s="56">
        <v>181</v>
      </c>
      <c r="B182" s="57" t="s">
        <v>211</v>
      </c>
      <c r="C182" s="57" t="s">
        <v>503</v>
      </c>
      <c r="D182" s="56" t="s">
        <v>618</v>
      </c>
      <c r="E182" s="56" t="s">
        <v>641</v>
      </c>
      <c r="G182" s="56" t="s">
        <v>1492</v>
      </c>
      <c r="H182" s="59">
        <v>44949</v>
      </c>
      <c r="I182" s="59">
        <v>45132</v>
      </c>
      <c r="K182" s="57" t="s">
        <v>712</v>
      </c>
      <c r="L182" s="57" t="s">
        <v>766</v>
      </c>
      <c r="M182" s="56" t="s">
        <v>843</v>
      </c>
      <c r="N182" s="56" t="s">
        <v>911</v>
      </c>
      <c r="O182" s="57" t="s">
        <v>857</v>
      </c>
      <c r="P182" s="56" t="s">
        <v>870</v>
      </c>
      <c r="Q182" s="57" t="s">
        <v>887</v>
      </c>
      <c r="T182" s="57" t="s">
        <v>976</v>
      </c>
      <c r="U182" s="57" t="s">
        <v>1143</v>
      </c>
      <c r="V182" s="56" t="s">
        <v>1057</v>
      </c>
      <c r="W182" s="60">
        <v>1013148</v>
      </c>
      <c r="X182" s="56" t="s">
        <v>1489</v>
      </c>
      <c r="Y182" s="56" t="s">
        <v>1489</v>
      </c>
      <c r="Z182" s="56" t="s">
        <v>1490</v>
      </c>
      <c r="AA182" s="56" t="s">
        <v>1490</v>
      </c>
      <c r="AB182" s="56" t="s">
        <v>1490</v>
      </c>
      <c r="AC182" s="56" t="s">
        <v>1490</v>
      </c>
      <c r="AD182" s="56" t="s">
        <v>1490</v>
      </c>
      <c r="AE182" s="56" t="s">
        <v>1490</v>
      </c>
      <c r="AF182" s="56" t="s">
        <v>1490</v>
      </c>
      <c r="AG182" s="56" t="s">
        <v>1490</v>
      </c>
      <c r="AH182" s="56" t="s">
        <v>1490</v>
      </c>
      <c r="AI182" s="56" t="s">
        <v>1490</v>
      </c>
      <c r="AJ182" s="56" t="s">
        <v>1490</v>
      </c>
      <c r="AK182" s="56" t="s">
        <v>1490</v>
      </c>
    </row>
    <row r="183" spans="1:37" s="56" customFormat="1" ht="30" customHeight="1" x14ac:dyDescent="0.25">
      <c r="A183" s="56">
        <v>182</v>
      </c>
      <c r="B183" s="57" t="s">
        <v>212</v>
      </c>
      <c r="C183" s="57" t="s">
        <v>504</v>
      </c>
      <c r="D183" s="56" t="s">
        <v>615</v>
      </c>
      <c r="E183" s="56" t="s">
        <v>644</v>
      </c>
      <c r="G183" s="56" t="str">
        <f>VLOOKUP(Table1[[#This Row],[Project Code]],[1]Combined!$E:$I,5,FALSE)</f>
        <v>Ongoing</v>
      </c>
      <c r="H183" s="59">
        <v>44964</v>
      </c>
      <c r="I183" s="59">
        <v>45328</v>
      </c>
      <c r="J183" s="56" t="str">
        <f>VLOOKUP(Table1[[#This Row],[Project Code]],'[6]Combined Nov''25'!$E:$O,10,FALSE)</f>
        <v>-</v>
      </c>
      <c r="K183" s="69" t="s">
        <v>695</v>
      </c>
      <c r="L183" s="69" t="s">
        <v>817</v>
      </c>
      <c r="M183" s="73" t="s">
        <v>843</v>
      </c>
      <c r="N183" s="73" t="s">
        <v>620</v>
      </c>
      <c r="O183" s="69" t="s">
        <v>863</v>
      </c>
      <c r="P183" s="73" t="s">
        <v>864</v>
      </c>
      <c r="Q183" s="57" t="s">
        <v>888</v>
      </c>
      <c r="T183" s="57" t="s">
        <v>977</v>
      </c>
      <c r="U183" s="57" t="s">
        <v>1144</v>
      </c>
      <c r="V183" s="56" t="s">
        <v>1057</v>
      </c>
      <c r="W183" s="60" t="s">
        <v>1063</v>
      </c>
      <c r="X183" s="56" t="s">
        <v>1489</v>
      </c>
      <c r="Y183" s="56" t="s">
        <v>1489</v>
      </c>
      <c r="Z183" s="56" t="s">
        <v>1490</v>
      </c>
      <c r="AA183" s="56" t="s">
        <v>1490</v>
      </c>
      <c r="AB183" s="56" t="s">
        <v>1490</v>
      </c>
      <c r="AC183" s="56" t="s">
        <v>1490</v>
      </c>
      <c r="AD183" s="56" t="s">
        <v>1490</v>
      </c>
      <c r="AE183" s="56" t="s">
        <v>1490</v>
      </c>
      <c r="AF183" s="56" t="s">
        <v>1490</v>
      </c>
      <c r="AG183" s="56" t="s">
        <v>1490</v>
      </c>
      <c r="AH183" s="56" t="s">
        <v>1490</v>
      </c>
      <c r="AI183" s="56" t="s">
        <v>1490</v>
      </c>
      <c r="AJ183" s="56" t="s">
        <v>1490</v>
      </c>
      <c r="AK183" s="56" t="s">
        <v>1490</v>
      </c>
    </row>
    <row r="184" spans="1:37" s="56" customFormat="1" ht="30" customHeight="1" x14ac:dyDescent="0.25">
      <c r="A184" s="56">
        <v>183</v>
      </c>
      <c r="B184" s="57" t="s">
        <v>213</v>
      </c>
      <c r="C184" s="57" t="s">
        <v>505</v>
      </c>
      <c r="H184" s="59">
        <v>44958</v>
      </c>
      <c r="I184" s="59">
        <v>45016</v>
      </c>
      <c r="J184" s="56" t="e">
        <f>VLOOKUP(Table1[[#This Row],[Project Code]],'[6]Combined Nov''25'!$E:$O,10,FALSE)</f>
        <v>#N/A</v>
      </c>
      <c r="K184" s="57" t="s">
        <v>713</v>
      </c>
      <c r="L184" s="57"/>
      <c r="M184" s="56" t="s">
        <v>853</v>
      </c>
      <c r="N184" s="73" t="e">
        <f>VLOOKUP(Table1[[#This Row],[Project Code]],'[6]Combined Nov''25'!$E:$K,7,FALSE)</f>
        <v>#N/A</v>
      </c>
      <c r="O184" s="57" t="s">
        <v>860</v>
      </c>
      <c r="P184" s="56" t="s">
        <v>870</v>
      </c>
      <c r="Q184" s="57" t="s">
        <v>886</v>
      </c>
      <c r="T184" s="57" t="e">
        <f>VLOOKUP(Table1[[#This Row],[Project Code]],'[6]Combined Nov''25'!$E:$P,12,FALSE)</f>
        <v>#N/A</v>
      </c>
      <c r="U184" s="57" t="e">
        <v>#N/A</v>
      </c>
      <c r="V184" s="56" t="e">
        <v>#N/A</v>
      </c>
      <c r="W184" s="60" t="e">
        <v>#N/A</v>
      </c>
      <c r="X184" s="56" t="s">
        <v>1489</v>
      </c>
      <c r="Y184" s="56" t="s">
        <v>1489</v>
      </c>
      <c r="Z184" s="56" t="s">
        <v>1490</v>
      </c>
      <c r="AA184" s="56" t="s">
        <v>1490</v>
      </c>
      <c r="AB184" s="56" t="s">
        <v>1490</v>
      </c>
      <c r="AC184" s="56" t="s">
        <v>1490</v>
      </c>
      <c r="AD184" s="56" t="s">
        <v>1490</v>
      </c>
      <c r="AE184" s="56" t="s">
        <v>1490</v>
      </c>
      <c r="AF184" s="56" t="s">
        <v>1490</v>
      </c>
      <c r="AG184" s="56" t="s">
        <v>1490</v>
      </c>
      <c r="AH184" s="56" t="s">
        <v>1490</v>
      </c>
      <c r="AI184" s="56" t="s">
        <v>1490</v>
      </c>
      <c r="AJ184" s="56" t="s">
        <v>1490</v>
      </c>
      <c r="AK184" s="56" t="s">
        <v>1490</v>
      </c>
    </row>
    <row r="185" spans="1:37" s="56" customFormat="1" ht="30" customHeight="1" x14ac:dyDescent="0.25">
      <c r="A185" s="56">
        <v>184</v>
      </c>
      <c r="B185" s="57" t="s">
        <v>214</v>
      </c>
      <c r="C185" s="57" t="s">
        <v>506</v>
      </c>
      <c r="D185" s="56" t="s">
        <v>618</v>
      </c>
      <c r="E185" s="56" t="s">
        <v>647</v>
      </c>
      <c r="G185" s="56" t="str">
        <f>VLOOKUP(Table1[[#This Row],[Project Code]],[1]Combined!$E:$I,5,FALSE)</f>
        <v>Completed</v>
      </c>
      <c r="H185" s="59">
        <v>44988</v>
      </c>
      <c r="I185" s="59">
        <v>45718</v>
      </c>
      <c r="K185" s="69" t="s">
        <v>714</v>
      </c>
      <c r="L185" s="69" t="s">
        <v>696</v>
      </c>
      <c r="M185" s="73" t="s">
        <v>847</v>
      </c>
      <c r="N185" s="73" t="s">
        <v>916</v>
      </c>
      <c r="O185" s="69" t="s">
        <v>857</v>
      </c>
      <c r="P185" s="73" t="s">
        <v>870</v>
      </c>
      <c r="Q185" s="57" t="s">
        <v>887</v>
      </c>
      <c r="T185" s="57" t="s">
        <v>978</v>
      </c>
      <c r="U185" s="57" t="s">
        <v>1145</v>
      </c>
      <c r="V185" s="56" t="s">
        <v>1058</v>
      </c>
      <c r="W185" s="60">
        <v>13336271.189999999</v>
      </c>
      <c r="X185" s="56" t="s">
        <v>1489</v>
      </c>
      <c r="Y185" s="56" t="s">
        <v>1489</v>
      </c>
      <c r="Z185" s="56" t="s">
        <v>1490</v>
      </c>
      <c r="AA185" s="56" t="s">
        <v>1490</v>
      </c>
      <c r="AB185" s="56" t="s">
        <v>1490</v>
      </c>
      <c r="AC185" s="56" t="s">
        <v>1490</v>
      </c>
      <c r="AD185" s="56" t="s">
        <v>1490</v>
      </c>
      <c r="AE185" s="56" t="s">
        <v>1490</v>
      </c>
      <c r="AF185" s="56" t="s">
        <v>1490</v>
      </c>
      <c r="AG185" s="56" t="s">
        <v>1490</v>
      </c>
      <c r="AH185" s="56" t="s">
        <v>1490</v>
      </c>
      <c r="AI185" s="56" t="s">
        <v>1490</v>
      </c>
      <c r="AJ185" s="56" t="s">
        <v>1490</v>
      </c>
      <c r="AK185" s="56" t="s">
        <v>1490</v>
      </c>
    </row>
    <row r="186" spans="1:37" s="56" customFormat="1" ht="30" customHeight="1" x14ac:dyDescent="0.25">
      <c r="A186" s="56">
        <v>185</v>
      </c>
      <c r="B186" s="57" t="s">
        <v>215</v>
      </c>
      <c r="C186" s="57" t="s">
        <v>507</v>
      </c>
      <c r="H186" s="59">
        <v>44981</v>
      </c>
      <c r="I186" s="59">
        <v>45046</v>
      </c>
      <c r="J186" s="56" t="e">
        <f>VLOOKUP(Table1[[#This Row],[Project Code]],'[6]Combined Nov''25'!$E:$O,10,FALSE)</f>
        <v>#N/A</v>
      </c>
      <c r="K186" s="57" t="s">
        <v>695</v>
      </c>
      <c r="L186" s="57" t="s">
        <v>817</v>
      </c>
      <c r="M186" s="56">
        <v>0</v>
      </c>
      <c r="N186" s="73" t="e">
        <f>VLOOKUP(Table1[[#This Row],[Project Code]],'[6]Combined Nov''25'!$E:$K,7,FALSE)</f>
        <v>#N/A</v>
      </c>
      <c r="O186" s="57" t="s">
        <v>863</v>
      </c>
      <c r="P186" s="56" t="s">
        <v>864</v>
      </c>
      <c r="Q186" s="57" t="s">
        <v>886</v>
      </c>
      <c r="T186" s="57" t="e">
        <f>VLOOKUP(Table1[[#This Row],[Project Code]],'[6]Combined Nov''25'!$E:$P,12,FALSE)</f>
        <v>#N/A</v>
      </c>
      <c r="U186" s="57" t="e">
        <v>#N/A</v>
      </c>
      <c r="V186" s="56" t="e">
        <v>#N/A</v>
      </c>
      <c r="W186" s="60" t="e">
        <v>#N/A</v>
      </c>
      <c r="X186" s="56" t="s">
        <v>1489</v>
      </c>
      <c r="Y186" s="56" t="s">
        <v>1489</v>
      </c>
      <c r="Z186" s="56" t="s">
        <v>1490</v>
      </c>
      <c r="AA186" s="56" t="s">
        <v>1490</v>
      </c>
      <c r="AB186" s="56" t="s">
        <v>1490</v>
      </c>
      <c r="AC186" s="56" t="s">
        <v>1490</v>
      </c>
      <c r="AD186" s="56" t="s">
        <v>1490</v>
      </c>
      <c r="AE186" s="56" t="s">
        <v>1490</v>
      </c>
      <c r="AF186" s="56" t="s">
        <v>1490</v>
      </c>
      <c r="AG186" s="56" t="s">
        <v>1490</v>
      </c>
      <c r="AH186" s="56" t="s">
        <v>1490</v>
      </c>
      <c r="AI186" s="56" t="s">
        <v>1490</v>
      </c>
      <c r="AJ186" s="56" t="s">
        <v>1490</v>
      </c>
      <c r="AK186" s="56" t="s">
        <v>1490</v>
      </c>
    </row>
    <row r="187" spans="1:37" s="56" customFormat="1" ht="30" customHeight="1" x14ac:dyDescent="0.25">
      <c r="A187" s="56">
        <v>186</v>
      </c>
      <c r="B187" s="57" t="s">
        <v>216</v>
      </c>
      <c r="C187" s="57" t="s">
        <v>508</v>
      </c>
      <c r="H187" s="59">
        <v>44991</v>
      </c>
      <c r="I187" s="59">
        <v>45356</v>
      </c>
      <c r="J187" s="56" t="e">
        <f>VLOOKUP(Table1[[#This Row],[Project Code]],'[6]Combined Nov''25'!$E:$O,10,FALSE)</f>
        <v>#N/A</v>
      </c>
      <c r="K187" s="57" t="s">
        <v>677</v>
      </c>
      <c r="L187" s="57"/>
      <c r="M187" s="56">
        <v>0</v>
      </c>
      <c r="N187" s="73" t="e">
        <f>VLOOKUP(Table1[[#This Row],[Project Code]],'[6]Combined Nov''25'!$E:$K,7,FALSE)</f>
        <v>#N/A</v>
      </c>
      <c r="O187" s="57" t="s">
        <v>857</v>
      </c>
      <c r="P187" s="56" t="s">
        <v>870</v>
      </c>
      <c r="Q187" s="57" t="s">
        <v>887</v>
      </c>
      <c r="T187" s="57" t="e">
        <f>VLOOKUP(Table1[[#This Row],[Project Code]],'[6]Combined Nov''25'!$E:$P,12,FALSE)</f>
        <v>#N/A</v>
      </c>
      <c r="U187" s="57" t="e">
        <v>#N/A</v>
      </c>
      <c r="V187" s="56" t="e">
        <v>#N/A</v>
      </c>
      <c r="W187" s="60" t="e">
        <v>#N/A</v>
      </c>
      <c r="X187" s="56" t="s">
        <v>1489</v>
      </c>
      <c r="Y187" s="56" t="s">
        <v>1489</v>
      </c>
      <c r="Z187" s="56" t="s">
        <v>1490</v>
      </c>
      <c r="AA187" s="56" t="s">
        <v>1490</v>
      </c>
      <c r="AB187" s="56" t="s">
        <v>1490</v>
      </c>
      <c r="AC187" s="56" t="s">
        <v>1490</v>
      </c>
      <c r="AD187" s="56" t="s">
        <v>1490</v>
      </c>
      <c r="AE187" s="56" t="s">
        <v>1490</v>
      </c>
      <c r="AF187" s="56" t="s">
        <v>1490</v>
      </c>
      <c r="AG187" s="56" t="s">
        <v>1490</v>
      </c>
      <c r="AH187" s="56" t="s">
        <v>1490</v>
      </c>
      <c r="AI187" s="56" t="s">
        <v>1490</v>
      </c>
      <c r="AJ187" s="56" t="s">
        <v>1490</v>
      </c>
      <c r="AK187" s="56" t="s">
        <v>1490</v>
      </c>
    </row>
    <row r="188" spans="1:37" s="56" customFormat="1" ht="30" customHeight="1" x14ac:dyDescent="0.25">
      <c r="A188" s="56">
        <v>187</v>
      </c>
      <c r="B188" s="57" t="s">
        <v>217</v>
      </c>
      <c r="C188" s="57" t="s">
        <v>509</v>
      </c>
      <c r="D188" s="56" t="s">
        <v>615</v>
      </c>
      <c r="E188" s="56" t="s">
        <v>624</v>
      </c>
      <c r="G188" s="56" t="str">
        <f>VLOOKUP(Table1[[#This Row],[Project Code]],[1]Combined!$E:$I,5,FALSE)</f>
        <v>Completed</v>
      </c>
      <c r="H188" s="59">
        <v>44987</v>
      </c>
      <c r="I188" s="59">
        <v>45352</v>
      </c>
      <c r="K188" s="69" t="s">
        <v>715</v>
      </c>
      <c r="L188" s="69" t="s">
        <v>776</v>
      </c>
      <c r="M188" s="73" t="s">
        <v>844</v>
      </c>
      <c r="N188" s="73" t="s">
        <v>917</v>
      </c>
      <c r="O188" s="69" t="s">
        <v>859</v>
      </c>
      <c r="P188" s="73" t="s">
        <v>869</v>
      </c>
      <c r="Q188" s="57" t="s">
        <v>887</v>
      </c>
      <c r="T188" s="57" t="s">
        <v>979</v>
      </c>
      <c r="U188" s="57" t="s">
        <v>1146</v>
      </c>
      <c r="V188" s="56">
        <v>0</v>
      </c>
      <c r="W188" s="60">
        <v>3787840</v>
      </c>
      <c r="X188" s="56" t="s">
        <v>1489</v>
      </c>
      <c r="Y188" s="56" t="s">
        <v>1489</v>
      </c>
      <c r="Z188" s="56" t="s">
        <v>1490</v>
      </c>
      <c r="AA188" s="56" t="s">
        <v>1490</v>
      </c>
      <c r="AB188" s="56" t="s">
        <v>1490</v>
      </c>
      <c r="AC188" s="56" t="s">
        <v>1490</v>
      </c>
      <c r="AD188" s="56" t="s">
        <v>1490</v>
      </c>
      <c r="AE188" s="56" t="s">
        <v>1490</v>
      </c>
      <c r="AF188" s="56" t="s">
        <v>1490</v>
      </c>
      <c r="AG188" s="56" t="s">
        <v>1490</v>
      </c>
      <c r="AH188" s="56" t="s">
        <v>1490</v>
      </c>
      <c r="AI188" s="56" t="s">
        <v>1490</v>
      </c>
      <c r="AJ188" s="56" t="s">
        <v>1490</v>
      </c>
      <c r="AK188" s="56" t="s">
        <v>1490</v>
      </c>
    </row>
    <row r="189" spans="1:37" s="56" customFormat="1" ht="30" customHeight="1" x14ac:dyDescent="0.25">
      <c r="A189" s="56">
        <v>188</v>
      </c>
      <c r="B189" s="57" t="s">
        <v>218</v>
      </c>
      <c r="C189" s="57" t="s">
        <v>510</v>
      </c>
      <c r="H189" s="59">
        <v>44944</v>
      </c>
      <c r="I189" s="59">
        <v>45016</v>
      </c>
      <c r="J189" s="56" t="e">
        <f>VLOOKUP(Table1[[#This Row],[Project Code]],'[6]Combined Nov''25'!$E:$O,10,FALSE)</f>
        <v>#N/A</v>
      </c>
      <c r="K189" s="69" t="e">
        <f>VLOOKUP(Table1[[#This Row],[Project Code]],'[6]Combined Nov''25'!$E:$K,6,FALSE)</f>
        <v>#N/A</v>
      </c>
      <c r="L189" s="57"/>
      <c r="M189" s="56">
        <v>0</v>
      </c>
      <c r="N189" s="73" t="e">
        <f>VLOOKUP(Table1[[#This Row],[Project Code]],'[6]Combined Nov''25'!$E:$K,7,FALSE)</f>
        <v>#N/A</v>
      </c>
      <c r="O189" s="57" t="s">
        <v>863</v>
      </c>
      <c r="P189" s="56" t="s">
        <v>881</v>
      </c>
      <c r="Q189" s="57" t="s">
        <v>886</v>
      </c>
      <c r="T189" s="57" t="e">
        <f>VLOOKUP(Table1[[#This Row],[Project Code]],'[6]Combined Nov''25'!$E:$P,12,FALSE)</f>
        <v>#N/A</v>
      </c>
      <c r="U189" s="57" t="e">
        <v>#N/A</v>
      </c>
      <c r="V189" s="56" t="e">
        <v>#N/A</v>
      </c>
      <c r="W189" s="60" t="e">
        <v>#N/A</v>
      </c>
      <c r="X189" s="56" t="s">
        <v>1489</v>
      </c>
      <c r="Y189" s="56" t="s">
        <v>1489</v>
      </c>
      <c r="Z189" s="56" t="s">
        <v>1490</v>
      </c>
      <c r="AA189" s="56" t="s">
        <v>1490</v>
      </c>
      <c r="AB189" s="56" t="s">
        <v>1490</v>
      </c>
      <c r="AC189" s="56" t="s">
        <v>1490</v>
      </c>
      <c r="AD189" s="56" t="s">
        <v>1490</v>
      </c>
      <c r="AE189" s="56" t="s">
        <v>1490</v>
      </c>
      <c r="AF189" s="56" t="s">
        <v>1490</v>
      </c>
      <c r="AG189" s="56" t="s">
        <v>1490</v>
      </c>
      <c r="AH189" s="56" t="s">
        <v>1490</v>
      </c>
      <c r="AI189" s="56" t="s">
        <v>1490</v>
      </c>
      <c r="AJ189" s="56" t="s">
        <v>1490</v>
      </c>
      <c r="AK189" s="56" t="s">
        <v>1490</v>
      </c>
    </row>
    <row r="190" spans="1:37" s="56" customFormat="1" ht="30" customHeight="1" x14ac:dyDescent="0.25">
      <c r="A190" s="56">
        <v>189</v>
      </c>
      <c r="B190" s="57" t="s">
        <v>219</v>
      </c>
      <c r="C190" s="57" t="s">
        <v>511</v>
      </c>
      <c r="D190" s="56" t="s">
        <v>615</v>
      </c>
      <c r="E190" s="56" t="s">
        <v>648</v>
      </c>
      <c r="G190" s="56" t="str">
        <f>VLOOKUP(Table1[[#This Row],[Project Code]],[1]Combined!$E:$I,5,FALSE)</f>
        <v>Completed</v>
      </c>
      <c r="H190" s="59">
        <v>44980</v>
      </c>
      <c r="I190" s="59">
        <v>45345</v>
      </c>
      <c r="J190" s="59">
        <f>VLOOKUP(Table1[[#This Row],[Project Code]],'[6]Combined Nov''25'!$E:$O,10,FALSE)</f>
        <v>45473</v>
      </c>
      <c r="K190" s="69" t="str">
        <f>VLOOKUP(Table1[[#This Row],[Project Code]],'[6]Combined Nov''25'!$E:$K,6,FALSE)</f>
        <v>MoHUA</v>
      </c>
      <c r="L190" s="69" t="s">
        <v>696</v>
      </c>
      <c r="M190" s="73" t="s">
        <v>843</v>
      </c>
      <c r="N190" s="73" t="s">
        <v>899</v>
      </c>
      <c r="O190" s="69" t="s">
        <v>856</v>
      </c>
      <c r="P190" s="73" t="s">
        <v>864</v>
      </c>
      <c r="Q190" s="57" t="s">
        <v>886</v>
      </c>
      <c r="T190" s="57" t="s">
        <v>980</v>
      </c>
      <c r="U190" s="57" t="s">
        <v>1147</v>
      </c>
      <c r="V190" s="56">
        <v>0</v>
      </c>
      <c r="W190" s="60">
        <v>8584800</v>
      </c>
      <c r="X190" s="56" t="s">
        <v>1489</v>
      </c>
      <c r="Y190" s="56" t="s">
        <v>1489</v>
      </c>
      <c r="Z190" s="56" t="s">
        <v>1490</v>
      </c>
      <c r="AA190" s="56" t="s">
        <v>1490</v>
      </c>
      <c r="AB190" s="56" t="s">
        <v>1490</v>
      </c>
      <c r="AC190" s="56" t="s">
        <v>1490</v>
      </c>
      <c r="AD190" s="56" t="s">
        <v>1490</v>
      </c>
      <c r="AE190" s="56" t="s">
        <v>1490</v>
      </c>
      <c r="AF190" s="56" t="s">
        <v>1490</v>
      </c>
      <c r="AG190" s="56" t="s">
        <v>1490</v>
      </c>
      <c r="AH190" s="56" t="s">
        <v>1490</v>
      </c>
      <c r="AI190" s="56" t="s">
        <v>1490</v>
      </c>
      <c r="AJ190" s="56" t="s">
        <v>1490</v>
      </c>
      <c r="AK190" s="56" t="s">
        <v>1490</v>
      </c>
    </row>
    <row r="191" spans="1:37" s="56" customFormat="1" ht="30" customHeight="1" x14ac:dyDescent="0.25">
      <c r="A191" s="56">
        <v>190</v>
      </c>
      <c r="B191" s="57" t="s">
        <v>220</v>
      </c>
      <c r="C191" s="57" t="s">
        <v>512</v>
      </c>
      <c r="D191" s="56" t="s">
        <v>618</v>
      </c>
      <c r="E191" s="56" t="s">
        <v>647</v>
      </c>
      <c r="G191" s="56" t="str">
        <f>VLOOKUP(Table1[[#This Row],[Project Code]],[1]Combined!$E:$I,5,FALSE)</f>
        <v>Ongoing</v>
      </c>
      <c r="H191" s="59">
        <v>44986</v>
      </c>
      <c r="I191" s="59">
        <v>45717</v>
      </c>
      <c r="J191" s="59">
        <f>VLOOKUP(Table1[[#This Row],[Project Code]],'[6]Combined Nov''25'!$E:$O,10,FALSE)</f>
        <v>45900</v>
      </c>
      <c r="K191" s="69" t="s">
        <v>716</v>
      </c>
      <c r="L191" s="69" t="s">
        <v>767</v>
      </c>
      <c r="M191" s="73" t="s">
        <v>844</v>
      </c>
      <c r="N191" s="73" t="s">
        <v>918</v>
      </c>
      <c r="O191" s="69" t="s">
        <v>857</v>
      </c>
      <c r="P191" s="73" t="s">
        <v>865</v>
      </c>
      <c r="Q191" s="57" t="s">
        <v>887</v>
      </c>
      <c r="T191" s="57" t="s">
        <v>981</v>
      </c>
      <c r="U191" s="57" t="s">
        <v>1148</v>
      </c>
      <c r="V191" s="56" t="s">
        <v>1058</v>
      </c>
      <c r="W191" s="60">
        <v>6012645</v>
      </c>
      <c r="X191" s="56" t="s">
        <v>1489</v>
      </c>
      <c r="Y191" s="56" t="s">
        <v>1489</v>
      </c>
      <c r="Z191" s="56" t="s">
        <v>1490</v>
      </c>
      <c r="AA191" s="56" t="s">
        <v>1490</v>
      </c>
      <c r="AB191" s="56" t="s">
        <v>1490</v>
      </c>
      <c r="AC191" s="56" t="s">
        <v>1490</v>
      </c>
      <c r="AD191" s="56" t="s">
        <v>1490</v>
      </c>
      <c r="AE191" s="56" t="s">
        <v>1490</v>
      </c>
      <c r="AF191" s="56" t="s">
        <v>1490</v>
      </c>
      <c r="AG191" s="56" t="s">
        <v>1490</v>
      </c>
      <c r="AH191" s="56" t="s">
        <v>1490</v>
      </c>
      <c r="AI191" s="56" t="s">
        <v>1490</v>
      </c>
      <c r="AJ191" s="56" t="s">
        <v>1490</v>
      </c>
      <c r="AK191" s="56" t="s">
        <v>1490</v>
      </c>
    </row>
    <row r="192" spans="1:37" s="56" customFormat="1" ht="30" customHeight="1" x14ac:dyDescent="0.25">
      <c r="A192" s="56">
        <v>191</v>
      </c>
      <c r="B192" s="57" t="s">
        <v>221</v>
      </c>
      <c r="C192" s="57" t="s">
        <v>513</v>
      </c>
      <c r="D192" s="56" t="s">
        <v>618</v>
      </c>
      <c r="E192" s="56" t="s">
        <v>643</v>
      </c>
      <c r="G192" s="56" t="str">
        <f>VLOOKUP(Table1[[#This Row],[Project Code]],[1]Combined!$E:$I,5,FALSE)</f>
        <v>Completed</v>
      </c>
      <c r="H192" s="59">
        <v>45021</v>
      </c>
      <c r="I192" s="59">
        <v>45747</v>
      </c>
      <c r="J192" s="59" t="str">
        <f>VLOOKUP(Table1[[#This Row],[Project Code]],'[6]Combined Nov''25'!$E:$O,10,FALSE)</f>
        <v>No extension needed as no additional visits may be required, awaiting final decision from the client</v>
      </c>
      <c r="K192" s="69" t="s">
        <v>717</v>
      </c>
      <c r="L192" s="69" t="s">
        <v>767</v>
      </c>
      <c r="M192" s="73" t="s">
        <v>844</v>
      </c>
      <c r="N192" s="73" t="s">
        <v>916</v>
      </c>
      <c r="O192" s="69" t="s">
        <v>857</v>
      </c>
      <c r="P192" s="73" t="s">
        <v>865</v>
      </c>
      <c r="Q192" s="57" t="s">
        <v>887</v>
      </c>
      <c r="T192" s="57" t="s">
        <v>982</v>
      </c>
      <c r="U192" s="57" t="s">
        <v>1149</v>
      </c>
      <c r="V192" s="56" t="s">
        <v>1057</v>
      </c>
      <c r="W192" s="60">
        <v>3497150</v>
      </c>
      <c r="X192" s="56" t="s">
        <v>1489</v>
      </c>
      <c r="Y192" s="56" t="s">
        <v>1489</v>
      </c>
      <c r="Z192" s="56" t="s">
        <v>1490</v>
      </c>
      <c r="AA192" s="56" t="s">
        <v>1490</v>
      </c>
      <c r="AB192" s="56" t="s">
        <v>1490</v>
      </c>
      <c r="AC192" s="56" t="s">
        <v>1490</v>
      </c>
      <c r="AD192" s="56" t="s">
        <v>1490</v>
      </c>
      <c r="AE192" s="56" t="s">
        <v>1490</v>
      </c>
      <c r="AF192" s="56" t="s">
        <v>1490</v>
      </c>
      <c r="AG192" s="56" t="s">
        <v>1490</v>
      </c>
      <c r="AH192" s="56" t="s">
        <v>1490</v>
      </c>
      <c r="AI192" s="56" t="s">
        <v>1490</v>
      </c>
      <c r="AJ192" s="56" t="s">
        <v>1490</v>
      </c>
      <c r="AK192" s="56" t="s">
        <v>1490</v>
      </c>
    </row>
    <row r="193" spans="1:37" s="56" customFormat="1" ht="30" customHeight="1" x14ac:dyDescent="0.25">
      <c r="A193" s="56">
        <v>192</v>
      </c>
      <c r="B193" s="57" t="s">
        <v>222</v>
      </c>
      <c r="C193" s="57" t="s">
        <v>514</v>
      </c>
      <c r="D193" s="56" t="s">
        <v>618</v>
      </c>
      <c r="E193" s="56" t="s">
        <v>643</v>
      </c>
      <c r="G193" s="56" t="s">
        <v>1492</v>
      </c>
      <c r="H193" s="59">
        <v>45013</v>
      </c>
      <c r="I193" s="59">
        <v>45041</v>
      </c>
      <c r="J193" s="59"/>
      <c r="K193" s="57" t="s">
        <v>581</v>
      </c>
      <c r="L193" s="57" t="s">
        <v>581</v>
      </c>
      <c r="M193" s="56" t="s">
        <v>843</v>
      </c>
      <c r="N193" s="56" t="s">
        <v>892</v>
      </c>
      <c r="O193" s="57" t="s">
        <v>858</v>
      </c>
      <c r="P193" s="56" t="s">
        <v>879</v>
      </c>
      <c r="Q193" s="57" t="s">
        <v>887</v>
      </c>
      <c r="T193" s="57" t="s">
        <v>983</v>
      </c>
      <c r="U193" s="57" t="s">
        <v>1150</v>
      </c>
      <c r="V193" s="56" t="s">
        <v>1057</v>
      </c>
      <c r="W193" s="60">
        <v>200000</v>
      </c>
      <c r="X193" s="56" t="s">
        <v>1489</v>
      </c>
      <c r="Y193" s="56" t="s">
        <v>1489</v>
      </c>
      <c r="Z193" s="56" t="s">
        <v>1490</v>
      </c>
      <c r="AA193" s="56" t="s">
        <v>1490</v>
      </c>
      <c r="AB193" s="56" t="s">
        <v>1490</v>
      </c>
      <c r="AC193" s="56" t="s">
        <v>1490</v>
      </c>
      <c r="AD193" s="56" t="s">
        <v>1490</v>
      </c>
      <c r="AE193" s="56" t="s">
        <v>1490</v>
      </c>
      <c r="AF193" s="56" t="s">
        <v>1490</v>
      </c>
      <c r="AG193" s="56" t="s">
        <v>1490</v>
      </c>
      <c r="AH193" s="56" t="s">
        <v>1490</v>
      </c>
      <c r="AI193" s="56" t="s">
        <v>1490</v>
      </c>
      <c r="AJ193" s="56" t="s">
        <v>1490</v>
      </c>
      <c r="AK193" s="56" t="s">
        <v>1490</v>
      </c>
    </row>
    <row r="194" spans="1:37" s="56" customFormat="1" ht="30" customHeight="1" x14ac:dyDescent="0.25">
      <c r="A194" s="56">
        <v>193</v>
      </c>
      <c r="B194" s="57" t="s">
        <v>223</v>
      </c>
      <c r="C194" s="57" t="s">
        <v>515</v>
      </c>
      <c r="D194" s="56" t="s">
        <v>618</v>
      </c>
      <c r="E194" s="56" t="s">
        <v>643</v>
      </c>
      <c r="G194" s="56" t="s">
        <v>1492</v>
      </c>
      <c r="H194" s="59">
        <v>45013</v>
      </c>
      <c r="I194" s="59">
        <v>45350</v>
      </c>
      <c r="J194" s="59"/>
      <c r="K194" s="57" t="s">
        <v>718</v>
      </c>
      <c r="L194" s="57"/>
      <c r="M194" s="56" t="s">
        <v>849</v>
      </c>
      <c r="N194" s="56" t="s">
        <v>911</v>
      </c>
      <c r="O194" s="57" t="s">
        <v>863</v>
      </c>
      <c r="P194" s="56" t="s">
        <v>864</v>
      </c>
      <c r="Q194" s="57" t="s">
        <v>886</v>
      </c>
      <c r="T194" s="57" t="s">
        <v>984</v>
      </c>
      <c r="U194" s="57" t="s">
        <v>1151</v>
      </c>
      <c r="V194" s="56" t="s">
        <v>1057</v>
      </c>
      <c r="W194" s="60">
        <v>3141600</v>
      </c>
      <c r="X194" s="56" t="s">
        <v>1489</v>
      </c>
      <c r="Y194" s="56" t="s">
        <v>1489</v>
      </c>
      <c r="Z194" s="56" t="s">
        <v>1490</v>
      </c>
      <c r="AA194" s="56" t="s">
        <v>1490</v>
      </c>
      <c r="AB194" s="56" t="s">
        <v>1490</v>
      </c>
      <c r="AC194" s="56" t="s">
        <v>1490</v>
      </c>
      <c r="AD194" s="56" t="s">
        <v>1490</v>
      </c>
      <c r="AE194" s="56" t="s">
        <v>1490</v>
      </c>
      <c r="AF194" s="56" t="s">
        <v>1490</v>
      </c>
      <c r="AG194" s="56" t="s">
        <v>1490</v>
      </c>
      <c r="AH194" s="56" t="s">
        <v>1490</v>
      </c>
      <c r="AI194" s="56" t="s">
        <v>1490</v>
      </c>
      <c r="AJ194" s="56" t="s">
        <v>1490</v>
      </c>
      <c r="AK194" s="56" t="s">
        <v>1490</v>
      </c>
    </row>
    <row r="195" spans="1:37" s="56" customFormat="1" ht="30" customHeight="1" x14ac:dyDescent="0.25">
      <c r="A195" s="56">
        <v>194</v>
      </c>
      <c r="B195" s="57" t="s">
        <v>224</v>
      </c>
      <c r="C195" s="57" t="s">
        <v>516</v>
      </c>
      <c r="H195" s="59">
        <v>45019</v>
      </c>
      <c r="I195" s="59">
        <v>45110</v>
      </c>
      <c r="J195" s="59" t="e">
        <f>VLOOKUP(Table1[[#This Row],[Project Code]],'[6]Combined Nov''25'!$E:$O,10,FALSE)</f>
        <v>#N/A</v>
      </c>
      <c r="K195" s="57" t="s">
        <v>719</v>
      </c>
      <c r="L195" s="57" t="s">
        <v>696</v>
      </c>
      <c r="M195" s="56" t="s">
        <v>843</v>
      </c>
      <c r="N195" s="73" t="e">
        <f>VLOOKUP(Table1[[#This Row],[Project Code]],'[6]Combined Nov''25'!$E:$K,7,FALSE)</f>
        <v>#N/A</v>
      </c>
      <c r="O195" s="57" t="s">
        <v>862</v>
      </c>
      <c r="P195" s="56" t="s">
        <v>864</v>
      </c>
      <c r="Q195" s="57" t="s">
        <v>886</v>
      </c>
      <c r="T195" s="57" t="e">
        <f>VLOOKUP(Table1[[#This Row],[Project Code]],'[6]Combined Nov''25'!$E:$P,12,FALSE)</f>
        <v>#N/A</v>
      </c>
      <c r="U195" s="57" t="e">
        <v>#N/A</v>
      </c>
      <c r="V195" s="56" t="e">
        <v>#N/A</v>
      </c>
      <c r="W195" s="60" t="e">
        <v>#N/A</v>
      </c>
      <c r="X195" s="56" t="s">
        <v>1489</v>
      </c>
      <c r="Y195" s="56" t="s">
        <v>1489</v>
      </c>
      <c r="Z195" s="56" t="s">
        <v>1490</v>
      </c>
      <c r="AA195" s="56" t="s">
        <v>1490</v>
      </c>
      <c r="AB195" s="56" t="s">
        <v>1490</v>
      </c>
      <c r="AC195" s="56" t="s">
        <v>1490</v>
      </c>
      <c r="AD195" s="56" t="s">
        <v>1490</v>
      </c>
      <c r="AE195" s="56" t="s">
        <v>1490</v>
      </c>
      <c r="AF195" s="56" t="s">
        <v>1490</v>
      </c>
      <c r="AG195" s="56" t="s">
        <v>1490</v>
      </c>
      <c r="AH195" s="56" t="s">
        <v>1490</v>
      </c>
      <c r="AI195" s="56" t="s">
        <v>1490</v>
      </c>
      <c r="AJ195" s="56" t="s">
        <v>1490</v>
      </c>
      <c r="AK195" s="56" t="s">
        <v>1490</v>
      </c>
    </row>
    <row r="196" spans="1:37" s="56" customFormat="1" ht="30" customHeight="1" x14ac:dyDescent="0.25">
      <c r="A196" s="56">
        <v>195</v>
      </c>
      <c r="B196" s="57" t="s">
        <v>225</v>
      </c>
      <c r="C196" s="57" t="s">
        <v>517</v>
      </c>
      <c r="D196" s="56" t="s">
        <v>619</v>
      </c>
      <c r="E196" s="56" t="s">
        <v>649</v>
      </c>
      <c r="G196" s="56" t="s">
        <v>1492</v>
      </c>
      <c r="H196" s="59">
        <v>45037</v>
      </c>
      <c r="I196" s="59">
        <v>45251</v>
      </c>
      <c r="J196" s="59">
        <f>VLOOKUP(Table1[[#This Row],[Project Code]],'[6]Combined Nov''25'!$E:$O,10,FALSE)</f>
        <v>45315</v>
      </c>
      <c r="K196" s="69" t="str">
        <f>VLOOKUP(Table1[[#This Row],[Project Code]],'[6]Combined Nov''25'!$E:$K,6,FALSE)</f>
        <v>Ministry of MHA</v>
      </c>
      <c r="L196" s="57" t="s">
        <v>789</v>
      </c>
      <c r="M196" s="56" t="s">
        <v>843</v>
      </c>
      <c r="N196" s="56" t="s">
        <v>919</v>
      </c>
      <c r="O196" s="57" t="s">
        <v>863</v>
      </c>
      <c r="P196" s="56" t="s">
        <v>864</v>
      </c>
      <c r="Q196" s="57" t="s">
        <v>886</v>
      </c>
      <c r="T196" s="57" t="s">
        <v>985</v>
      </c>
      <c r="U196" s="57" t="s">
        <v>1152</v>
      </c>
      <c r="V196" s="56">
        <v>0</v>
      </c>
      <c r="W196" s="60">
        <v>63941651</v>
      </c>
      <c r="X196" s="56" t="s">
        <v>1489</v>
      </c>
      <c r="Y196" s="56" t="s">
        <v>1489</v>
      </c>
      <c r="Z196" s="56" t="s">
        <v>1490</v>
      </c>
      <c r="AA196" s="56" t="s">
        <v>1490</v>
      </c>
      <c r="AB196" s="56" t="s">
        <v>1490</v>
      </c>
      <c r="AC196" s="56" t="s">
        <v>1490</v>
      </c>
      <c r="AD196" s="56" t="s">
        <v>1490</v>
      </c>
      <c r="AE196" s="56" t="s">
        <v>1490</v>
      </c>
      <c r="AF196" s="56" t="s">
        <v>1490</v>
      </c>
      <c r="AG196" s="56" t="s">
        <v>1490</v>
      </c>
      <c r="AH196" s="56" t="s">
        <v>1490</v>
      </c>
      <c r="AI196" s="56" t="s">
        <v>1490</v>
      </c>
      <c r="AJ196" s="56" t="s">
        <v>1490</v>
      </c>
      <c r="AK196" s="56" t="s">
        <v>1490</v>
      </c>
    </row>
    <row r="197" spans="1:37" s="56" customFormat="1" ht="30" customHeight="1" x14ac:dyDescent="0.25">
      <c r="A197" s="56">
        <v>196</v>
      </c>
      <c r="B197" s="57" t="s">
        <v>226</v>
      </c>
      <c r="C197" s="57" t="s">
        <v>518</v>
      </c>
      <c r="H197" s="59"/>
      <c r="I197" s="59"/>
      <c r="J197" s="59" t="e">
        <f>VLOOKUP(Table1[[#This Row],[Project Code]],'[6]Combined Nov''25'!$E:$O,10,FALSE)</f>
        <v>#N/A</v>
      </c>
      <c r="K197" s="57" t="s">
        <v>720</v>
      </c>
      <c r="L197" s="57"/>
      <c r="M197" s="56">
        <v>0</v>
      </c>
      <c r="N197" s="73" t="e">
        <f>VLOOKUP(Table1[[#This Row],[Project Code]],'[6]Combined Nov''25'!$E:$K,7,FALSE)</f>
        <v>#N/A</v>
      </c>
      <c r="O197" s="57" t="s">
        <v>860</v>
      </c>
      <c r="P197" s="56" t="s">
        <v>864</v>
      </c>
      <c r="Q197" s="57" t="s">
        <v>887</v>
      </c>
      <c r="T197" s="57" t="e">
        <f>VLOOKUP(Table1[[#This Row],[Project Code]],'[6]Combined Nov''25'!$E:$P,12,FALSE)</f>
        <v>#N/A</v>
      </c>
      <c r="U197" s="57" t="e">
        <v>#N/A</v>
      </c>
      <c r="V197" s="56" t="e">
        <v>#N/A</v>
      </c>
      <c r="W197" s="60" t="e">
        <v>#N/A</v>
      </c>
      <c r="X197" s="56" t="s">
        <v>1489</v>
      </c>
      <c r="Y197" s="56" t="s">
        <v>1489</v>
      </c>
      <c r="Z197" s="56" t="s">
        <v>1490</v>
      </c>
      <c r="AA197" s="56" t="s">
        <v>1490</v>
      </c>
      <c r="AB197" s="56" t="s">
        <v>1490</v>
      </c>
      <c r="AC197" s="56" t="s">
        <v>1490</v>
      </c>
      <c r="AD197" s="56" t="s">
        <v>1490</v>
      </c>
      <c r="AE197" s="56" t="s">
        <v>1490</v>
      </c>
      <c r="AF197" s="56" t="s">
        <v>1490</v>
      </c>
      <c r="AG197" s="56" t="s">
        <v>1490</v>
      </c>
      <c r="AH197" s="56" t="s">
        <v>1490</v>
      </c>
      <c r="AI197" s="56" t="s">
        <v>1490</v>
      </c>
      <c r="AJ197" s="56" t="s">
        <v>1490</v>
      </c>
      <c r="AK197" s="56" t="s">
        <v>1490</v>
      </c>
    </row>
    <row r="198" spans="1:37" s="56" customFormat="1" ht="30" customHeight="1" x14ac:dyDescent="0.25">
      <c r="A198" s="56">
        <v>197</v>
      </c>
      <c r="B198" s="57" t="s">
        <v>227</v>
      </c>
      <c r="C198" s="57" t="s">
        <v>519</v>
      </c>
      <c r="D198" s="56" t="s">
        <v>615</v>
      </c>
      <c r="E198" s="56" t="s">
        <v>644</v>
      </c>
      <c r="G198" s="56" t="str">
        <f>VLOOKUP(Table1[[#This Row],[Project Code]],'[6]Combined Nov''25'!$E:$I,5,FALSE)</f>
        <v>Ongoing</v>
      </c>
      <c r="H198" s="59">
        <v>45043</v>
      </c>
      <c r="I198" s="59">
        <v>45103</v>
      </c>
      <c r="J198" s="59">
        <f>VLOOKUP(Table1[[#This Row],[Project Code]],'[6]Combined Nov''25'!$E:$O,10,FALSE)</f>
        <v>46022</v>
      </c>
      <c r="K198" s="69" t="s">
        <v>721</v>
      </c>
      <c r="L198" s="69" t="s">
        <v>768</v>
      </c>
      <c r="M198" s="73" t="s">
        <v>844</v>
      </c>
      <c r="N198" s="73" t="s">
        <v>620</v>
      </c>
      <c r="O198" s="69" t="s">
        <v>863</v>
      </c>
      <c r="P198" s="73" t="s">
        <v>866</v>
      </c>
      <c r="Q198" s="57" t="s">
        <v>887</v>
      </c>
      <c r="T198" s="57" t="s">
        <v>986</v>
      </c>
      <c r="U198" s="57" t="s">
        <v>1153</v>
      </c>
      <c r="V198" s="56">
        <v>0</v>
      </c>
      <c r="W198" s="60">
        <v>1890000</v>
      </c>
      <c r="X198" s="56" t="s">
        <v>1489</v>
      </c>
      <c r="Y198" s="56" t="s">
        <v>1489</v>
      </c>
      <c r="Z198" s="56" t="s">
        <v>1490</v>
      </c>
      <c r="AA198" s="56" t="s">
        <v>1490</v>
      </c>
      <c r="AB198" s="56" t="s">
        <v>1490</v>
      </c>
      <c r="AC198" s="56" t="s">
        <v>1490</v>
      </c>
      <c r="AD198" s="56" t="s">
        <v>1490</v>
      </c>
      <c r="AE198" s="56" t="s">
        <v>1490</v>
      </c>
      <c r="AF198" s="56" t="s">
        <v>1490</v>
      </c>
      <c r="AG198" s="56" t="s">
        <v>1490</v>
      </c>
      <c r="AH198" s="56" t="s">
        <v>1490</v>
      </c>
      <c r="AI198" s="56" t="s">
        <v>1490</v>
      </c>
      <c r="AJ198" s="56" t="s">
        <v>1490</v>
      </c>
      <c r="AK198" s="56" t="s">
        <v>1490</v>
      </c>
    </row>
    <row r="199" spans="1:37" s="56" customFormat="1" ht="30" customHeight="1" x14ac:dyDescent="0.25">
      <c r="A199" s="56">
        <v>198</v>
      </c>
      <c r="B199" s="57" t="s">
        <v>228</v>
      </c>
      <c r="C199" s="57" t="s">
        <v>520</v>
      </c>
      <c r="D199" s="56" t="s">
        <v>622</v>
      </c>
      <c r="E199" s="56" t="s">
        <v>645</v>
      </c>
      <c r="G199" s="56" t="str">
        <f>VLOOKUP(Table1[[#This Row],[Project Code]],'[6]Combined Nov''25'!$E:$I,5,FALSE)</f>
        <v>Fully Closed</v>
      </c>
      <c r="H199" s="59">
        <v>45054</v>
      </c>
      <c r="I199" s="59">
        <v>45138</v>
      </c>
      <c r="J199" s="59" t="str">
        <f>VLOOKUP(Table1[[#This Row],[Project Code]],'[6]Combined Nov''25'!$E:$O,10,FALSE)</f>
        <v>NA</v>
      </c>
      <c r="K199" s="57" t="s">
        <v>722</v>
      </c>
      <c r="L199" s="57" t="s">
        <v>822</v>
      </c>
      <c r="M199" s="56" t="s">
        <v>848</v>
      </c>
      <c r="N199" s="56" t="s">
        <v>913</v>
      </c>
      <c r="O199" s="57" t="s">
        <v>858</v>
      </c>
      <c r="P199" s="56" t="s">
        <v>880</v>
      </c>
      <c r="Q199" s="57" t="s">
        <v>887</v>
      </c>
      <c r="T199" s="57" t="s">
        <v>987</v>
      </c>
      <c r="U199" s="57" t="s">
        <v>1154</v>
      </c>
      <c r="V199" s="56" t="s">
        <v>1058</v>
      </c>
      <c r="W199" s="60">
        <v>1475170</v>
      </c>
      <c r="X199" s="56" t="s">
        <v>1489</v>
      </c>
      <c r="Y199" s="56" t="s">
        <v>1489</v>
      </c>
      <c r="Z199" s="56" t="s">
        <v>1490</v>
      </c>
      <c r="AA199" s="56" t="s">
        <v>1490</v>
      </c>
      <c r="AB199" s="56" t="s">
        <v>1490</v>
      </c>
      <c r="AC199" s="56" t="s">
        <v>1490</v>
      </c>
      <c r="AD199" s="56" t="s">
        <v>1490</v>
      </c>
      <c r="AE199" s="56" t="s">
        <v>1490</v>
      </c>
      <c r="AF199" s="56" t="s">
        <v>1490</v>
      </c>
      <c r="AG199" s="56" t="s">
        <v>1490</v>
      </c>
      <c r="AH199" s="56" t="s">
        <v>1490</v>
      </c>
      <c r="AI199" s="56" t="s">
        <v>1490</v>
      </c>
      <c r="AJ199" s="56" t="s">
        <v>1490</v>
      </c>
      <c r="AK199" s="56" t="s">
        <v>1490</v>
      </c>
    </row>
    <row r="200" spans="1:37" s="56" customFormat="1" ht="30" customHeight="1" x14ac:dyDescent="0.25">
      <c r="A200" s="56">
        <v>199</v>
      </c>
      <c r="B200" s="57" t="s">
        <v>229</v>
      </c>
      <c r="C200" s="57" t="s">
        <v>521</v>
      </c>
      <c r="D200" s="56" t="s">
        <v>617</v>
      </c>
      <c r="E200" s="56" t="s">
        <v>638</v>
      </c>
      <c r="G200" s="56" t="str">
        <f>VLOOKUP(Table1[[#This Row],[Project Code]],'[6]Combined Nov''25'!$E:$I,5,FALSE)</f>
        <v>Fully Closed</v>
      </c>
      <c r="H200" s="59">
        <v>45002</v>
      </c>
      <c r="I200" s="59">
        <v>45092</v>
      </c>
      <c r="J200" s="59"/>
      <c r="K200" s="57" t="s">
        <v>720</v>
      </c>
      <c r="L200" s="57" t="s">
        <v>823</v>
      </c>
      <c r="M200" s="56" t="s">
        <v>847</v>
      </c>
      <c r="N200" s="56" t="s">
        <v>909</v>
      </c>
      <c r="O200" s="57" t="s">
        <v>860</v>
      </c>
      <c r="P200" s="56" t="s">
        <v>864</v>
      </c>
      <c r="Q200" s="57" t="s">
        <v>887</v>
      </c>
      <c r="T200" s="57" t="s">
        <v>988</v>
      </c>
      <c r="U200" s="57" t="s">
        <v>1155</v>
      </c>
      <c r="V200" s="56" t="s">
        <v>1057</v>
      </c>
      <c r="W200" s="60">
        <v>7013130</v>
      </c>
      <c r="X200" s="56" t="s">
        <v>1489</v>
      </c>
      <c r="Y200" s="56" t="s">
        <v>1489</v>
      </c>
      <c r="Z200" s="56" t="s">
        <v>1490</v>
      </c>
      <c r="AA200" s="56" t="s">
        <v>1490</v>
      </c>
      <c r="AB200" s="56" t="s">
        <v>1490</v>
      </c>
      <c r="AC200" s="56" t="s">
        <v>1490</v>
      </c>
      <c r="AD200" s="56" t="s">
        <v>1490</v>
      </c>
      <c r="AE200" s="56" t="s">
        <v>1490</v>
      </c>
      <c r="AF200" s="56" t="s">
        <v>1490</v>
      </c>
      <c r="AG200" s="56" t="s">
        <v>1490</v>
      </c>
      <c r="AH200" s="56" t="s">
        <v>1490</v>
      </c>
      <c r="AI200" s="56" t="s">
        <v>1490</v>
      </c>
      <c r="AJ200" s="56" t="s">
        <v>1490</v>
      </c>
      <c r="AK200" s="56" t="s">
        <v>1490</v>
      </c>
    </row>
    <row r="201" spans="1:37" s="56" customFormat="1" ht="30" customHeight="1" x14ac:dyDescent="0.25">
      <c r="A201" s="56">
        <v>200</v>
      </c>
      <c r="B201" s="57" t="s">
        <v>230</v>
      </c>
      <c r="C201" s="57" t="s">
        <v>522</v>
      </c>
      <c r="D201" s="56" t="s">
        <v>618</v>
      </c>
      <c r="E201" s="56" t="s">
        <v>643</v>
      </c>
      <c r="G201" s="56" t="str">
        <f>VLOOKUP(Table1[[#This Row],[Project Code]],'[6]Combined Nov''25'!$E:$I,5,FALSE)</f>
        <v>Ongoing</v>
      </c>
      <c r="H201" s="59">
        <v>45072</v>
      </c>
      <c r="I201" s="59">
        <v>45473</v>
      </c>
      <c r="J201" s="59">
        <f>VLOOKUP(Table1[[#This Row],[Project Code]],'[6]Combined Nov''25'!$E:$O,10,FALSE)</f>
        <v>45900</v>
      </c>
      <c r="K201" s="69" t="s">
        <v>723</v>
      </c>
      <c r="L201" s="69" t="s">
        <v>767</v>
      </c>
      <c r="M201" s="73" t="s">
        <v>844</v>
      </c>
      <c r="N201" s="73" t="s">
        <v>916</v>
      </c>
      <c r="O201" s="69" t="s">
        <v>857</v>
      </c>
      <c r="P201" s="73" t="s">
        <v>865</v>
      </c>
      <c r="Q201" s="57" t="s">
        <v>887</v>
      </c>
      <c r="T201" s="57" t="s">
        <v>989</v>
      </c>
      <c r="U201" s="57" t="s">
        <v>1156</v>
      </c>
      <c r="V201" s="56" t="s">
        <v>1057</v>
      </c>
      <c r="W201" s="60">
        <v>1641701.13</v>
      </c>
      <c r="X201" s="56" t="s">
        <v>1489</v>
      </c>
      <c r="Y201" s="56" t="s">
        <v>1489</v>
      </c>
      <c r="Z201" s="56" t="s">
        <v>1490</v>
      </c>
      <c r="AA201" s="56" t="s">
        <v>1490</v>
      </c>
      <c r="AB201" s="56" t="s">
        <v>1490</v>
      </c>
      <c r="AC201" s="56" t="s">
        <v>1490</v>
      </c>
      <c r="AD201" s="56" t="s">
        <v>1490</v>
      </c>
      <c r="AE201" s="56" t="s">
        <v>1490</v>
      </c>
      <c r="AF201" s="56" t="s">
        <v>1490</v>
      </c>
      <c r="AG201" s="56" t="s">
        <v>1490</v>
      </c>
      <c r="AH201" s="56" t="s">
        <v>1490</v>
      </c>
      <c r="AI201" s="56" t="s">
        <v>1490</v>
      </c>
      <c r="AJ201" s="56" t="s">
        <v>1490</v>
      </c>
      <c r="AK201" s="56" t="s">
        <v>1490</v>
      </c>
    </row>
    <row r="202" spans="1:37" s="56" customFormat="1" ht="30" customHeight="1" x14ac:dyDescent="0.25">
      <c r="A202" s="56">
        <v>201</v>
      </c>
      <c r="B202" s="57" t="s">
        <v>231</v>
      </c>
      <c r="C202" s="57" t="s">
        <v>523</v>
      </c>
      <c r="D202" s="56" t="s">
        <v>618</v>
      </c>
      <c r="E202" s="56" t="s">
        <v>643</v>
      </c>
      <c r="G202" s="56" t="str">
        <f>VLOOKUP(Table1[[#This Row],[Project Code]],'[6]Combined Nov''25'!$E:$I,5,FALSE)</f>
        <v>Fully Closed</v>
      </c>
      <c r="H202" s="59">
        <v>45080</v>
      </c>
      <c r="I202" s="59">
        <v>45138</v>
      </c>
      <c r="J202" s="59"/>
      <c r="K202" s="57" t="s">
        <v>724</v>
      </c>
      <c r="L202" s="57" t="s">
        <v>824</v>
      </c>
      <c r="M202" s="56" t="s">
        <v>844</v>
      </c>
      <c r="N202" s="56" t="s">
        <v>916</v>
      </c>
      <c r="O202" s="57" t="s">
        <v>857</v>
      </c>
      <c r="P202" s="56" t="s">
        <v>882</v>
      </c>
      <c r="Q202" s="57" t="s">
        <v>887</v>
      </c>
      <c r="T202" s="57" t="s">
        <v>990</v>
      </c>
      <c r="U202" s="57" t="s">
        <v>1157</v>
      </c>
      <c r="V202" s="56" t="s">
        <v>1057</v>
      </c>
      <c r="W202" s="60">
        <v>6090327.5300000003</v>
      </c>
      <c r="X202" s="56" t="s">
        <v>1489</v>
      </c>
      <c r="Y202" s="56" t="s">
        <v>1489</v>
      </c>
      <c r="Z202" s="56" t="s">
        <v>1490</v>
      </c>
      <c r="AA202" s="56" t="s">
        <v>1490</v>
      </c>
      <c r="AB202" s="56" t="s">
        <v>1490</v>
      </c>
      <c r="AC202" s="56" t="s">
        <v>1490</v>
      </c>
      <c r="AD202" s="56" t="s">
        <v>1490</v>
      </c>
      <c r="AE202" s="56" t="s">
        <v>1490</v>
      </c>
      <c r="AF202" s="56" t="s">
        <v>1490</v>
      </c>
      <c r="AG202" s="56" t="s">
        <v>1490</v>
      </c>
      <c r="AH202" s="56" t="s">
        <v>1490</v>
      </c>
      <c r="AI202" s="56" t="s">
        <v>1490</v>
      </c>
      <c r="AJ202" s="56" t="s">
        <v>1490</v>
      </c>
      <c r="AK202" s="56" t="s">
        <v>1490</v>
      </c>
    </row>
    <row r="203" spans="1:37" s="56" customFormat="1" ht="30" customHeight="1" x14ac:dyDescent="0.25">
      <c r="A203" s="56">
        <v>202</v>
      </c>
      <c r="B203" s="57" t="s">
        <v>232</v>
      </c>
      <c r="C203" s="57" t="s">
        <v>524</v>
      </c>
      <c r="D203" s="56" t="s">
        <v>621</v>
      </c>
      <c r="E203" s="56" t="s">
        <v>650</v>
      </c>
      <c r="G203" s="56" t="str">
        <f>VLOOKUP(Table1[[#This Row],[Project Code]],'[6]Combined Nov''25'!$E:$I,5,FALSE)</f>
        <v>Fully Closed</v>
      </c>
      <c r="H203" s="59">
        <v>45120</v>
      </c>
      <c r="I203" s="59" t="s">
        <v>664</v>
      </c>
      <c r="J203" s="59"/>
      <c r="K203" s="69" t="str">
        <f>VLOOKUP(Table1[[#This Row],[Project Code]],'[6]Combined Nov''25'!$E:$K,6,FALSE)</f>
        <v>Samagra Shiksha, Department of Education, AP</v>
      </c>
      <c r="L203" s="57" t="s">
        <v>814</v>
      </c>
      <c r="M203" s="56" t="s">
        <v>844</v>
      </c>
      <c r="N203" s="56" t="s">
        <v>913</v>
      </c>
      <c r="O203" s="57" t="s">
        <v>858</v>
      </c>
      <c r="P203" s="56" t="s">
        <v>877</v>
      </c>
      <c r="Q203" s="57" t="s">
        <v>887</v>
      </c>
      <c r="T203" s="57" t="s">
        <v>991</v>
      </c>
      <c r="U203" s="57" t="s">
        <v>991</v>
      </c>
      <c r="V203" s="56" t="s">
        <v>1057</v>
      </c>
      <c r="W203" s="60">
        <v>7450240</v>
      </c>
      <c r="X203" s="56" t="s">
        <v>1489</v>
      </c>
      <c r="Y203" s="56" t="s">
        <v>1489</v>
      </c>
      <c r="Z203" s="56" t="s">
        <v>1490</v>
      </c>
      <c r="AA203" s="56" t="s">
        <v>1490</v>
      </c>
      <c r="AB203" s="56" t="s">
        <v>1490</v>
      </c>
      <c r="AC203" s="56" t="s">
        <v>1490</v>
      </c>
      <c r="AD203" s="56" t="s">
        <v>1490</v>
      </c>
      <c r="AE203" s="56" t="s">
        <v>1490</v>
      </c>
      <c r="AF203" s="56" t="s">
        <v>1490</v>
      </c>
      <c r="AG203" s="56" t="s">
        <v>1490</v>
      </c>
      <c r="AH203" s="56" t="s">
        <v>1490</v>
      </c>
      <c r="AI203" s="56" t="s">
        <v>1490</v>
      </c>
      <c r="AJ203" s="56" t="s">
        <v>1490</v>
      </c>
      <c r="AK203" s="56" t="s">
        <v>1490</v>
      </c>
    </row>
    <row r="204" spans="1:37" s="56" customFormat="1" ht="30" customHeight="1" x14ac:dyDescent="0.25">
      <c r="A204" s="56">
        <v>203</v>
      </c>
      <c r="B204" s="57" t="s">
        <v>233</v>
      </c>
      <c r="C204" s="57" t="s">
        <v>525</v>
      </c>
      <c r="D204" s="56" t="s">
        <v>620</v>
      </c>
      <c r="E204" s="56" t="s">
        <v>651</v>
      </c>
      <c r="G204" s="56" t="str">
        <f>VLOOKUP(Table1[[#This Row],[Project Code]],'[6]Combined Nov''25'!$E:$I,5,FALSE)</f>
        <v>Fully Closed</v>
      </c>
      <c r="H204" s="59"/>
      <c r="I204" s="59"/>
      <c r="J204" s="59"/>
      <c r="K204" s="69" t="str">
        <f>VLOOKUP(Table1[[#This Row],[Project Code]],'[6]Combined Nov''25'!$E:$K,6,FALSE)</f>
        <v>MHA</v>
      </c>
      <c r="L204" s="57" t="s">
        <v>789</v>
      </c>
      <c r="M204" s="56" t="s">
        <v>843</v>
      </c>
      <c r="N204" s="73">
        <f>VLOOKUP(Table1[[#This Row],[Project Code]],'[6]Combined Nov''25'!$E:$K,7,FALSE)</f>
        <v>0</v>
      </c>
      <c r="O204" s="57" t="s">
        <v>856</v>
      </c>
      <c r="P204" s="56" t="s">
        <v>864</v>
      </c>
      <c r="Q204" s="57" t="s">
        <v>855</v>
      </c>
      <c r="T204" s="57">
        <f>VLOOKUP(Table1[[#This Row],[Project Code]],'[6]Combined Nov''25'!$E:$P,12,FALSE)</f>
        <v>0</v>
      </c>
      <c r="U204" s="57">
        <v>0</v>
      </c>
      <c r="V204" s="56" t="s">
        <v>1057</v>
      </c>
      <c r="W204" s="60" t="e">
        <v>#N/A</v>
      </c>
      <c r="X204" s="56" t="s">
        <v>1489</v>
      </c>
      <c r="Y204" s="56" t="s">
        <v>1489</v>
      </c>
      <c r="Z204" s="56" t="s">
        <v>1489</v>
      </c>
      <c r="AA204" s="56" t="s">
        <v>1489</v>
      </c>
      <c r="AB204" s="56" t="s">
        <v>1489</v>
      </c>
      <c r="AC204" s="56" t="s">
        <v>1489</v>
      </c>
      <c r="AD204" s="56" t="s">
        <v>1489</v>
      </c>
      <c r="AE204" s="56" t="s">
        <v>1489</v>
      </c>
      <c r="AF204" s="56" t="s">
        <v>1490</v>
      </c>
      <c r="AG204" s="56" t="s">
        <v>1490</v>
      </c>
      <c r="AH204" s="56" t="s">
        <v>1490</v>
      </c>
      <c r="AI204" s="56" t="s">
        <v>1490</v>
      </c>
      <c r="AJ204" s="56" t="s">
        <v>1490</v>
      </c>
      <c r="AK204" s="56" t="s">
        <v>1490</v>
      </c>
    </row>
    <row r="205" spans="1:37" s="56" customFormat="1" ht="30" customHeight="1" x14ac:dyDescent="0.25">
      <c r="A205" s="56">
        <v>204</v>
      </c>
      <c r="B205" s="57" t="s">
        <v>234</v>
      </c>
      <c r="C205" s="57" t="s">
        <v>526</v>
      </c>
      <c r="G205" s="56" t="e">
        <f>VLOOKUP(Table1[[#This Row],[Project Code]],'[6]Combined Nov''25'!$E:$I,5,FALSE)</f>
        <v>#N/A</v>
      </c>
      <c r="H205" s="59">
        <v>45000</v>
      </c>
      <c r="I205" s="59"/>
      <c r="J205" s="59" t="e">
        <f>VLOOKUP(Table1[[#This Row],[Project Code]],'[6]Combined Nov''25'!$E:$O,10,FALSE)</f>
        <v>#N/A</v>
      </c>
      <c r="K205" s="69" t="e">
        <f>VLOOKUP(Table1[[#This Row],[Project Code]],'[6]Combined Nov''25'!$E:$K,6,FALSE)</f>
        <v>#N/A</v>
      </c>
      <c r="L205" s="57"/>
      <c r="M205" s="56">
        <v>0</v>
      </c>
      <c r="N205" s="73" t="e">
        <f>VLOOKUP(Table1[[#This Row],[Project Code]],'[6]Combined Nov''25'!$E:$K,7,FALSE)</f>
        <v>#N/A</v>
      </c>
      <c r="O205" s="57" t="s">
        <v>863</v>
      </c>
      <c r="P205" s="56" t="s">
        <v>864</v>
      </c>
      <c r="Q205" s="57" t="s">
        <v>886</v>
      </c>
      <c r="T205" s="57" t="e">
        <f>VLOOKUP(Table1[[#This Row],[Project Code]],'[6]Combined Nov''25'!$E:$P,12,FALSE)</f>
        <v>#N/A</v>
      </c>
      <c r="U205" s="57" t="e">
        <v>#N/A</v>
      </c>
      <c r="V205" s="56" t="e">
        <v>#N/A</v>
      </c>
      <c r="W205" s="60" t="e">
        <v>#N/A</v>
      </c>
      <c r="X205" s="56" t="s">
        <v>1489</v>
      </c>
      <c r="Y205" s="56" t="s">
        <v>1489</v>
      </c>
      <c r="Z205" s="56" t="s">
        <v>1490</v>
      </c>
      <c r="AA205" s="56" t="s">
        <v>1490</v>
      </c>
      <c r="AB205" s="56" t="s">
        <v>1490</v>
      </c>
      <c r="AC205" s="56" t="s">
        <v>1490</v>
      </c>
      <c r="AD205" s="56" t="s">
        <v>1490</v>
      </c>
      <c r="AE205" s="56" t="s">
        <v>1490</v>
      </c>
      <c r="AF205" s="56" t="s">
        <v>1490</v>
      </c>
      <c r="AG205" s="56" t="s">
        <v>1490</v>
      </c>
      <c r="AH205" s="56" t="s">
        <v>1490</v>
      </c>
      <c r="AI205" s="56" t="s">
        <v>1490</v>
      </c>
      <c r="AJ205" s="56" t="s">
        <v>1490</v>
      </c>
      <c r="AK205" s="56" t="s">
        <v>1490</v>
      </c>
    </row>
    <row r="206" spans="1:37" s="56" customFormat="1" ht="30" customHeight="1" x14ac:dyDescent="0.25">
      <c r="A206" s="56">
        <v>205</v>
      </c>
      <c r="B206" s="57" t="s">
        <v>235</v>
      </c>
      <c r="C206" s="57" t="s">
        <v>527</v>
      </c>
      <c r="D206" s="56" t="s">
        <v>621</v>
      </c>
      <c r="E206" s="56" t="s">
        <v>652</v>
      </c>
      <c r="G206" s="56" t="str">
        <f>VLOOKUP(Table1[[#This Row],[Project Code]],'[6]Combined Nov''25'!$E:$I,5,FALSE)</f>
        <v>Fully Closed</v>
      </c>
      <c r="H206" s="59">
        <v>45135</v>
      </c>
      <c r="I206" s="59">
        <v>45227</v>
      </c>
      <c r="J206" s="59"/>
      <c r="K206" s="69" t="str">
        <f>VLOOKUP(Table1[[#This Row],[Project Code]],'[6]Combined Nov''25'!$E:$K,6,FALSE)</f>
        <v>Samagra Shiksha, Department of Education, AP</v>
      </c>
      <c r="L206" s="57" t="s">
        <v>814</v>
      </c>
      <c r="M206" s="56" t="s">
        <v>844</v>
      </c>
      <c r="N206" s="56" t="s">
        <v>913</v>
      </c>
      <c r="O206" s="57" t="s">
        <v>858</v>
      </c>
      <c r="P206" s="56" t="s">
        <v>877</v>
      </c>
      <c r="Q206" s="57" t="s">
        <v>887</v>
      </c>
      <c r="T206" s="57" t="s">
        <v>991</v>
      </c>
      <c r="U206" s="57" t="s">
        <v>991</v>
      </c>
      <c r="V206" s="56" t="s">
        <v>1057</v>
      </c>
      <c r="W206" s="60">
        <v>11062800</v>
      </c>
      <c r="X206" s="56" t="s">
        <v>1489</v>
      </c>
      <c r="Y206" s="56" t="s">
        <v>1489</v>
      </c>
      <c r="Z206" s="56" t="s">
        <v>1490</v>
      </c>
      <c r="AA206" s="56" t="s">
        <v>1490</v>
      </c>
      <c r="AB206" s="56" t="s">
        <v>1490</v>
      </c>
      <c r="AC206" s="56" t="s">
        <v>1490</v>
      </c>
      <c r="AD206" s="56" t="s">
        <v>1490</v>
      </c>
      <c r="AE206" s="56" t="s">
        <v>1490</v>
      </c>
      <c r="AF206" s="56" t="s">
        <v>1490</v>
      </c>
      <c r="AG206" s="56" t="s">
        <v>1490</v>
      </c>
      <c r="AH206" s="56" t="s">
        <v>1490</v>
      </c>
      <c r="AI206" s="56" t="s">
        <v>1490</v>
      </c>
      <c r="AJ206" s="56" t="s">
        <v>1490</v>
      </c>
      <c r="AK206" s="56" t="s">
        <v>1490</v>
      </c>
    </row>
    <row r="207" spans="1:37" s="56" customFormat="1" ht="30" customHeight="1" x14ac:dyDescent="0.25">
      <c r="A207" s="56">
        <v>206</v>
      </c>
      <c r="B207" s="57" t="s">
        <v>236</v>
      </c>
      <c r="C207" s="57" t="s">
        <v>528</v>
      </c>
      <c r="D207" s="56" t="s">
        <v>621</v>
      </c>
      <c r="E207" s="56" t="s">
        <v>639</v>
      </c>
      <c r="G207" s="56" t="str">
        <f>VLOOKUP(Table1[[#This Row],[Project Code]],'[6]Combined Nov''25'!$E:$I,5,FALSE)</f>
        <v>Fully Closed</v>
      </c>
      <c r="H207" s="59">
        <v>45139</v>
      </c>
      <c r="I207" s="59">
        <v>45200</v>
      </c>
      <c r="J207" s="59"/>
      <c r="K207" s="57" t="s">
        <v>725</v>
      </c>
      <c r="L207" s="57" t="s">
        <v>766</v>
      </c>
      <c r="M207" s="56" t="s">
        <v>843</v>
      </c>
      <c r="N207" s="56" t="s">
        <v>920</v>
      </c>
      <c r="O207" s="57" t="s">
        <v>863</v>
      </c>
      <c r="P207" s="56" t="s">
        <v>864</v>
      </c>
      <c r="Q207" s="57" t="s">
        <v>855</v>
      </c>
      <c r="T207" s="57" t="s">
        <v>992</v>
      </c>
      <c r="U207" s="57" t="s">
        <v>1158</v>
      </c>
      <c r="V207" s="56" t="s">
        <v>1057</v>
      </c>
      <c r="W207" s="60">
        <v>1690879</v>
      </c>
      <c r="X207" s="56" t="s">
        <v>1489</v>
      </c>
      <c r="Y207" s="56" t="s">
        <v>1489</v>
      </c>
      <c r="Z207" s="56" t="s">
        <v>1490</v>
      </c>
      <c r="AA207" s="56" t="s">
        <v>1490</v>
      </c>
      <c r="AB207" s="56" t="s">
        <v>1490</v>
      </c>
      <c r="AC207" s="56" t="s">
        <v>1490</v>
      </c>
      <c r="AD207" s="56" t="s">
        <v>1490</v>
      </c>
      <c r="AE207" s="56" t="s">
        <v>1490</v>
      </c>
      <c r="AF207" s="56" t="s">
        <v>1490</v>
      </c>
      <c r="AG207" s="56" t="s">
        <v>1490</v>
      </c>
      <c r="AH207" s="56" t="s">
        <v>1490</v>
      </c>
      <c r="AI207" s="56" t="s">
        <v>1490</v>
      </c>
      <c r="AJ207" s="56" t="s">
        <v>1490</v>
      </c>
      <c r="AK207" s="56" t="s">
        <v>1490</v>
      </c>
    </row>
    <row r="208" spans="1:37" s="56" customFormat="1" ht="30" customHeight="1" x14ac:dyDescent="0.25">
      <c r="A208" s="56">
        <v>207</v>
      </c>
      <c r="B208" s="57" t="s">
        <v>237</v>
      </c>
      <c r="C208" s="57" t="s">
        <v>529</v>
      </c>
      <c r="D208" s="56" t="s">
        <v>621</v>
      </c>
      <c r="E208" s="56" t="s">
        <v>639</v>
      </c>
      <c r="G208" s="56" t="str">
        <f>VLOOKUP(Table1[[#This Row],[Project Code]],'[6]Combined Nov''25'!$E:$I,5,FALSE)</f>
        <v>Completed</v>
      </c>
      <c r="H208" s="59">
        <v>45138</v>
      </c>
      <c r="I208" s="59">
        <v>45158</v>
      </c>
      <c r="J208" s="59"/>
      <c r="K208" s="69" t="s">
        <v>677</v>
      </c>
      <c r="L208" s="69" t="s">
        <v>781</v>
      </c>
      <c r="M208" s="73" t="s">
        <v>844</v>
      </c>
      <c r="N208" s="73" t="s">
        <v>913</v>
      </c>
      <c r="O208" s="69" t="s">
        <v>858</v>
      </c>
      <c r="P208" s="73" t="s">
        <v>870</v>
      </c>
      <c r="Q208" s="57" t="s">
        <v>887</v>
      </c>
      <c r="T208" s="57" t="s">
        <v>993</v>
      </c>
      <c r="U208" s="57" t="s">
        <v>1159</v>
      </c>
      <c r="V208" s="56" t="s">
        <v>1057</v>
      </c>
      <c r="W208" s="60">
        <v>255333</v>
      </c>
      <c r="X208" s="56" t="s">
        <v>1489</v>
      </c>
      <c r="Y208" s="56" t="s">
        <v>1489</v>
      </c>
      <c r="Z208" s="56" t="s">
        <v>1490</v>
      </c>
      <c r="AA208" s="56" t="s">
        <v>1490</v>
      </c>
      <c r="AB208" s="56" t="s">
        <v>1490</v>
      </c>
      <c r="AC208" s="56" t="s">
        <v>1490</v>
      </c>
      <c r="AD208" s="56" t="s">
        <v>1490</v>
      </c>
      <c r="AE208" s="56" t="s">
        <v>1490</v>
      </c>
      <c r="AF208" s="56" t="s">
        <v>1490</v>
      </c>
      <c r="AG208" s="56" t="s">
        <v>1490</v>
      </c>
      <c r="AH208" s="56" t="s">
        <v>1490</v>
      </c>
      <c r="AI208" s="56" t="s">
        <v>1490</v>
      </c>
      <c r="AJ208" s="56" t="s">
        <v>1490</v>
      </c>
      <c r="AK208" s="56" t="s">
        <v>1490</v>
      </c>
    </row>
    <row r="209" spans="1:37" s="56" customFormat="1" ht="30" customHeight="1" x14ac:dyDescent="0.25">
      <c r="A209" s="56">
        <v>208</v>
      </c>
      <c r="B209" s="57" t="s">
        <v>238</v>
      </c>
      <c r="C209" s="57" t="s">
        <v>530</v>
      </c>
      <c r="D209" s="56" t="s">
        <v>617</v>
      </c>
      <c r="E209" s="56" t="s">
        <v>626</v>
      </c>
      <c r="G209" s="56" t="str">
        <f>VLOOKUP(Table1[[#This Row],[Project Code]],'[6]Combined Nov''25'!$E:$I,5,FALSE)</f>
        <v>Fully Closed</v>
      </c>
      <c r="H209" s="59">
        <v>45147</v>
      </c>
      <c r="I209" s="59">
        <v>45273</v>
      </c>
      <c r="J209" s="59"/>
      <c r="K209" s="57" t="s">
        <v>726</v>
      </c>
      <c r="L209" s="57" t="s">
        <v>825</v>
      </c>
      <c r="M209" s="56" t="s">
        <v>854</v>
      </c>
      <c r="N209" s="56" t="s">
        <v>891</v>
      </c>
      <c r="O209" s="57" t="s">
        <v>860</v>
      </c>
      <c r="P209" s="56" t="s">
        <v>864</v>
      </c>
      <c r="Q209" s="57" t="s">
        <v>887</v>
      </c>
      <c r="T209" s="57" t="s">
        <v>994</v>
      </c>
      <c r="U209" s="57" t="s">
        <v>1160</v>
      </c>
      <c r="V209" s="56" t="s">
        <v>1057</v>
      </c>
      <c r="W209" s="60">
        <v>63205318</v>
      </c>
      <c r="X209" s="56" t="s">
        <v>1489</v>
      </c>
      <c r="Y209" s="56" t="s">
        <v>1489</v>
      </c>
      <c r="Z209" s="56" t="s">
        <v>1490</v>
      </c>
      <c r="AA209" s="56" t="s">
        <v>1490</v>
      </c>
      <c r="AB209" s="56" t="s">
        <v>1490</v>
      </c>
      <c r="AC209" s="56" t="s">
        <v>1490</v>
      </c>
      <c r="AD209" s="56" t="s">
        <v>1490</v>
      </c>
      <c r="AE209" s="56" t="s">
        <v>1490</v>
      </c>
      <c r="AF209" s="56" t="s">
        <v>1490</v>
      </c>
      <c r="AG209" s="56" t="s">
        <v>1490</v>
      </c>
      <c r="AH209" s="56" t="s">
        <v>1490</v>
      </c>
      <c r="AI209" s="56" t="s">
        <v>1490</v>
      </c>
      <c r="AJ209" s="56" t="s">
        <v>1490</v>
      </c>
      <c r="AK209" s="56" t="s">
        <v>1490</v>
      </c>
    </row>
    <row r="210" spans="1:37" s="56" customFormat="1" ht="30" customHeight="1" x14ac:dyDescent="0.25">
      <c r="A210" s="56">
        <v>209</v>
      </c>
      <c r="B210" s="57" t="s">
        <v>239</v>
      </c>
      <c r="C210" s="57" t="s">
        <v>531</v>
      </c>
      <c r="D210" s="56" t="s">
        <v>618</v>
      </c>
      <c r="E210" s="56" t="s">
        <v>643</v>
      </c>
      <c r="G210" s="56" t="str">
        <f>VLOOKUP(Table1[[#This Row],[Project Code]],'[6]Combined Nov''25'!$E:$I,5,FALSE)</f>
        <v>Fully Closed</v>
      </c>
      <c r="H210" s="59">
        <v>45160</v>
      </c>
      <c r="I210" s="59" t="s">
        <v>665</v>
      </c>
      <c r="J210" s="59"/>
      <c r="K210" s="57" t="s">
        <v>727</v>
      </c>
      <c r="L210" s="57" t="s">
        <v>767</v>
      </c>
      <c r="M210" s="56" t="s">
        <v>844</v>
      </c>
      <c r="N210" s="56" t="s">
        <v>911</v>
      </c>
      <c r="O210" s="57" t="s">
        <v>857</v>
      </c>
      <c r="P210" s="56" t="s">
        <v>865</v>
      </c>
      <c r="Q210" s="57" t="s">
        <v>887</v>
      </c>
      <c r="T210" s="57" t="s">
        <v>995</v>
      </c>
      <c r="U210" s="57" t="s">
        <v>1161</v>
      </c>
      <c r="V210" s="56" t="s">
        <v>1057</v>
      </c>
      <c r="W210" s="60">
        <v>605409</v>
      </c>
      <c r="X210" s="56" t="s">
        <v>1489</v>
      </c>
      <c r="Y210" s="56" t="s">
        <v>1489</v>
      </c>
      <c r="Z210" s="56" t="s">
        <v>1490</v>
      </c>
      <c r="AA210" s="56" t="s">
        <v>1490</v>
      </c>
      <c r="AB210" s="56" t="s">
        <v>1490</v>
      </c>
      <c r="AC210" s="56" t="s">
        <v>1490</v>
      </c>
      <c r="AD210" s="56" t="s">
        <v>1490</v>
      </c>
      <c r="AE210" s="56" t="s">
        <v>1490</v>
      </c>
      <c r="AF210" s="56" t="s">
        <v>1490</v>
      </c>
      <c r="AG210" s="56" t="s">
        <v>1490</v>
      </c>
      <c r="AH210" s="56" t="s">
        <v>1490</v>
      </c>
      <c r="AI210" s="56" t="s">
        <v>1490</v>
      </c>
      <c r="AJ210" s="56" t="s">
        <v>1490</v>
      </c>
      <c r="AK210" s="56" t="s">
        <v>1490</v>
      </c>
    </row>
    <row r="211" spans="1:37" s="56" customFormat="1" ht="30" customHeight="1" x14ac:dyDescent="0.25">
      <c r="A211" s="56">
        <v>210</v>
      </c>
      <c r="B211" s="57" t="s">
        <v>240</v>
      </c>
      <c r="C211" s="57" t="s">
        <v>532</v>
      </c>
      <c r="D211" s="56" t="s">
        <v>618</v>
      </c>
      <c r="E211" s="56" t="s">
        <v>643</v>
      </c>
      <c r="G211" s="56" t="str">
        <f>VLOOKUP(Table1[[#This Row],[Project Code]],'[6]Combined Nov''25'!$E:$I,5,FALSE)</f>
        <v>Ongoing</v>
      </c>
      <c r="H211" s="59">
        <v>45156</v>
      </c>
      <c r="I211" s="59" t="s">
        <v>666</v>
      </c>
      <c r="J211" s="59" t="str">
        <f>VLOOKUP(Table1[[#This Row],[Project Code]],'[6]Combined Nov''25'!$E:$O,10,FALSE)</f>
        <v>-</v>
      </c>
      <c r="K211" s="69" t="s">
        <v>709</v>
      </c>
      <c r="L211" s="69" t="s">
        <v>767</v>
      </c>
      <c r="M211" s="73" t="s">
        <v>844</v>
      </c>
      <c r="N211" s="73" t="s">
        <v>916</v>
      </c>
      <c r="O211" s="69" t="s">
        <v>857</v>
      </c>
      <c r="P211" s="73" t="s">
        <v>865</v>
      </c>
      <c r="Q211" s="57" t="s">
        <v>887</v>
      </c>
      <c r="T211" s="57" t="s">
        <v>996</v>
      </c>
      <c r="U211" s="57" t="s">
        <v>1162</v>
      </c>
      <c r="V211" s="56" t="s">
        <v>1057</v>
      </c>
      <c r="W211" s="60">
        <v>44106366.299999997</v>
      </c>
      <c r="X211" s="56" t="s">
        <v>1489</v>
      </c>
      <c r="Y211" s="56" t="s">
        <v>1489</v>
      </c>
      <c r="Z211" s="56" t="s">
        <v>1490</v>
      </c>
      <c r="AA211" s="56" t="s">
        <v>1490</v>
      </c>
      <c r="AB211" s="56" t="s">
        <v>1490</v>
      </c>
      <c r="AC211" s="56" t="s">
        <v>1490</v>
      </c>
      <c r="AD211" s="56" t="s">
        <v>1490</v>
      </c>
      <c r="AE211" s="56" t="s">
        <v>1490</v>
      </c>
      <c r="AF211" s="56" t="s">
        <v>1490</v>
      </c>
      <c r="AG211" s="56" t="s">
        <v>1490</v>
      </c>
      <c r="AH211" s="56" t="s">
        <v>1490</v>
      </c>
      <c r="AI211" s="56" t="s">
        <v>1490</v>
      </c>
      <c r="AJ211" s="56" t="s">
        <v>1490</v>
      </c>
      <c r="AK211" s="56" t="s">
        <v>1490</v>
      </c>
    </row>
    <row r="212" spans="1:37" s="56" customFormat="1" ht="30" customHeight="1" x14ac:dyDescent="0.25">
      <c r="A212" s="56">
        <v>211</v>
      </c>
      <c r="B212" s="57" t="s">
        <v>241</v>
      </c>
      <c r="C212" s="57" t="s">
        <v>533</v>
      </c>
      <c r="D212" s="56" t="s">
        <v>619</v>
      </c>
      <c r="E212" s="56" t="s">
        <v>632</v>
      </c>
      <c r="G212" s="56" t="str">
        <f>VLOOKUP(Table1[[#This Row],[Project Code]],'[6]Combined Nov''25'!$E:$I,5,FALSE)</f>
        <v>Completed</v>
      </c>
      <c r="H212" s="59">
        <v>45146</v>
      </c>
      <c r="I212" s="59">
        <v>45542</v>
      </c>
      <c r="J212" s="59"/>
      <c r="K212" s="69" t="s">
        <v>728</v>
      </c>
      <c r="L212" s="69"/>
      <c r="M212" s="73" t="s">
        <v>849</v>
      </c>
      <c r="N212" s="73" t="s">
        <v>895</v>
      </c>
      <c r="O212" s="69" t="s">
        <v>861</v>
      </c>
      <c r="P212" s="73" t="s">
        <v>869</v>
      </c>
      <c r="Q212" s="57" t="s">
        <v>887</v>
      </c>
      <c r="T212" s="57" t="s">
        <v>966</v>
      </c>
      <c r="U212" s="57" t="s">
        <v>1163</v>
      </c>
      <c r="V212" s="56" t="s">
        <v>1057</v>
      </c>
      <c r="W212" s="60">
        <v>7500000</v>
      </c>
      <c r="X212" s="56" t="s">
        <v>1489</v>
      </c>
      <c r="Y212" s="56" t="s">
        <v>1489</v>
      </c>
      <c r="Z212" s="56" t="s">
        <v>1490</v>
      </c>
      <c r="AA212" s="56" t="s">
        <v>1490</v>
      </c>
      <c r="AB212" s="56" t="s">
        <v>1490</v>
      </c>
      <c r="AC212" s="56" t="s">
        <v>1490</v>
      </c>
      <c r="AD212" s="56" t="s">
        <v>1490</v>
      </c>
      <c r="AE212" s="56" t="s">
        <v>1490</v>
      </c>
      <c r="AF212" s="56" t="s">
        <v>1490</v>
      </c>
      <c r="AG212" s="56" t="s">
        <v>1490</v>
      </c>
      <c r="AH212" s="56" t="s">
        <v>1490</v>
      </c>
      <c r="AI212" s="56" t="s">
        <v>1490</v>
      </c>
      <c r="AJ212" s="56" t="s">
        <v>1490</v>
      </c>
      <c r="AK212" s="56" t="s">
        <v>1490</v>
      </c>
    </row>
    <row r="213" spans="1:37" s="56" customFormat="1" ht="30" customHeight="1" x14ac:dyDescent="0.25">
      <c r="A213" s="56">
        <v>212</v>
      </c>
      <c r="B213" s="57" t="s">
        <v>242</v>
      </c>
      <c r="C213" s="57" t="s">
        <v>534</v>
      </c>
      <c r="D213" s="56" t="s">
        <v>618</v>
      </c>
      <c r="E213" s="56" t="s">
        <v>641</v>
      </c>
      <c r="G213" s="56" t="str">
        <f>VLOOKUP(Table1[[#This Row],[Project Code]],'[6]Combined Nov''25'!$E:$I,5,FALSE)</f>
        <v>Ongoing</v>
      </c>
      <c r="H213" s="59">
        <v>45174</v>
      </c>
      <c r="I213" s="59">
        <v>45996</v>
      </c>
      <c r="J213" s="59">
        <f>VLOOKUP(Table1[[#This Row],[Project Code]],'[6]Combined Nov''25'!$E:$O,10,FALSE)</f>
        <v>46203</v>
      </c>
      <c r="K213" s="69" t="s">
        <v>729</v>
      </c>
      <c r="L213" s="69" t="s">
        <v>826</v>
      </c>
      <c r="M213" s="73" t="s">
        <v>848</v>
      </c>
      <c r="N213" s="73" t="s">
        <v>916</v>
      </c>
      <c r="O213" s="69" t="s">
        <v>857</v>
      </c>
      <c r="P213" s="73" t="s">
        <v>878</v>
      </c>
      <c r="Q213" s="57" t="s">
        <v>887</v>
      </c>
      <c r="T213" s="57" t="s">
        <v>997</v>
      </c>
      <c r="U213" s="57" t="s">
        <v>1164</v>
      </c>
      <c r="V213" s="56" t="s">
        <v>1058</v>
      </c>
      <c r="W213" s="60">
        <v>2627117.7999999998</v>
      </c>
      <c r="X213" s="56" t="s">
        <v>1489</v>
      </c>
      <c r="Y213" s="56" t="s">
        <v>1489</v>
      </c>
      <c r="Z213" s="56" t="s">
        <v>1490</v>
      </c>
      <c r="AA213" s="56" t="s">
        <v>1490</v>
      </c>
      <c r="AB213" s="56" t="s">
        <v>1490</v>
      </c>
      <c r="AC213" s="56" t="s">
        <v>1490</v>
      </c>
      <c r="AD213" s="56" t="s">
        <v>1490</v>
      </c>
      <c r="AE213" s="56" t="s">
        <v>1490</v>
      </c>
      <c r="AF213" s="56" t="s">
        <v>1490</v>
      </c>
      <c r="AG213" s="56" t="s">
        <v>1490</v>
      </c>
      <c r="AH213" s="56" t="s">
        <v>1490</v>
      </c>
      <c r="AI213" s="56" t="s">
        <v>1490</v>
      </c>
      <c r="AJ213" s="56" t="s">
        <v>1490</v>
      </c>
      <c r="AK213" s="56" t="s">
        <v>1490</v>
      </c>
    </row>
    <row r="214" spans="1:37" s="56" customFormat="1" ht="30" customHeight="1" x14ac:dyDescent="0.25">
      <c r="A214" s="56">
        <v>213</v>
      </c>
      <c r="B214" s="57" t="s">
        <v>243</v>
      </c>
      <c r="C214" s="57" t="s">
        <v>535</v>
      </c>
      <c r="D214" s="56" t="s">
        <v>618</v>
      </c>
      <c r="E214" s="56" t="s">
        <v>653</v>
      </c>
      <c r="G214" s="56" t="str">
        <f>VLOOKUP(Table1[[#This Row],[Project Code]],'[6]Combined Nov''25'!$E:$I,5,FALSE)</f>
        <v>Completed</v>
      </c>
      <c r="H214" s="59">
        <v>45149</v>
      </c>
      <c r="I214" s="59">
        <v>45393</v>
      </c>
      <c r="J214" s="59" t="str">
        <f>VLOOKUP(Table1[[#This Row],[Project Code]],'[6]Combined Nov''25'!$E:$O,10,FALSE)</f>
        <v>Work order extension awaited</v>
      </c>
      <c r="K214" s="69" t="str">
        <f>VLOOKUP(Table1[[#This Row],[Project Code]],'[6]Combined Nov''25'!$E:$K,6,FALSE)</f>
        <v>Ministry of Consumer Affairs, Food and Public Distribution</v>
      </c>
      <c r="L214" s="69" t="s">
        <v>811</v>
      </c>
      <c r="M214" s="73" t="s">
        <v>843</v>
      </c>
      <c r="N214" s="73" t="s">
        <v>921</v>
      </c>
      <c r="O214" s="69" t="s">
        <v>863</v>
      </c>
      <c r="P214" s="73" t="s">
        <v>864</v>
      </c>
      <c r="Q214" s="57" t="s">
        <v>887</v>
      </c>
      <c r="T214" s="57" t="s">
        <v>998</v>
      </c>
      <c r="U214" s="57" t="s">
        <v>1165</v>
      </c>
      <c r="V214" s="56" t="s">
        <v>1057</v>
      </c>
      <c r="W214" s="60">
        <v>10980480</v>
      </c>
      <c r="X214" s="56" t="s">
        <v>1489</v>
      </c>
      <c r="Y214" s="56" t="s">
        <v>1489</v>
      </c>
      <c r="Z214" s="56" t="s">
        <v>1490</v>
      </c>
      <c r="AA214" s="56" t="s">
        <v>1490</v>
      </c>
      <c r="AB214" s="56" t="s">
        <v>1490</v>
      </c>
      <c r="AC214" s="56" t="s">
        <v>1490</v>
      </c>
      <c r="AD214" s="56" t="s">
        <v>1490</v>
      </c>
      <c r="AE214" s="56" t="s">
        <v>1490</v>
      </c>
      <c r="AF214" s="56" t="s">
        <v>1490</v>
      </c>
      <c r="AG214" s="56" t="s">
        <v>1490</v>
      </c>
      <c r="AH214" s="56" t="s">
        <v>1490</v>
      </c>
      <c r="AI214" s="56" t="s">
        <v>1490</v>
      </c>
      <c r="AJ214" s="56" t="s">
        <v>1490</v>
      </c>
      <c r="AK214" s="56" t="s">
        <v>1490</v>
      </c>
    </row>
    <row r="215" spans="1:37" s="56" customFormat="1" ht="30" customHeight="1" x14ac:dyDescent="0.25">
      <c r="A215" s="56">
        <v>214</v>
      </c>
      <c r="B215" s="57" t="s">
        <v>244</v>
      </c>
      <c r="C215" s="57" t="s">
        <v>536</v>
      </c>
      <c r="D215" s="56" t="s">
        <v>618</v>
      </c>
      <c r="E215" s="56" t="s">
        <v>647</v>
      </c>
      <c r="G215" s="56" t="str">
        <f>VLOOKUP(Table1[[#This Row],[Project Code]],'[6]Combined Nov''25'!$E:$I,5,FALSE)</f>
        <v>Completed</v>
      </c>
      <c r="H215" s="59">
        <v>45185</v>
      </c>
      <c r="I215" s="59">
        <v>45824</v>
      </c>
      <c r="J215" s="59"/>
      <c r="K215" s="69" t="s">
        <v>714</v>
      </c>
      <c r="L215" s="69" t="s">
        <v>696</v>
      </c>
      <c r="M215" s="73" t="s">
        <v>847</v>
      </c>
      <c r="N215" s="73" t="s">
        <v>916</v>
      </c>
      <c r="O215" s="69" t="s">
        <v>857</v>
      </c>
      <c r="P215" s="73" t="s">
        <v>870</v>
      </c>
      <c r="Q215" s="57" t="s">
        <v>887</v>
      </c>
      <c r="T215" s="57" t="s">
        <v>999</v>
      </c>
      <c r="U215" s="57" t="s">
        <v>1166</v>
      </c>
      <c r="V215" s="56" t="s">
        <v>1058</v>
      </c>
      <c r="W215" s="60">
        <v>7109047.3700000001</v>
      </c>
      <c r="X215" s="56" t="s">
        <v>1489</v>
      </c>
      <c r="Y215" s="56" t="s">
        <v>1489</v>
      </c>
      <c r="Z215" s="56" t="s">
        <v>1490</v>
      </c>
      <c r="AA215" s="56" t="s">
        <v>1490</v>
      </c>
      <c r="AB215" s="56" t="s">
        <v>1490</v>
      </c>
      <c r="AC215" s="56" t="s">
        <v>1490</v>
      </c>
      <c r="AD215" s="56" t="s">
        <v>1490</v>
      </c>
      <c r="AE215" s="56" t="s">
        <v>1490</v>
      </c>
      <c r="AF215" s="56" t="s">
        <v>1490</v>
      </c>
      <c r="AG215" s="56" t="s">
        <v>1490</v>
      </c>
      <c r="AH215" s="56" t="s">
        <v>1490</v>
      </c>
      <c r="AI215" s="56" t="s">
        <v>1490</v>
      </c>
      <c r="AJ215" s="56" t="s">
        <v>1490</v>
      </c>
      <c r="AK215" s="56" t="s">
        <v>1490</v>
      </c>
    </row>
    <row r="216" spans="1:37" s="56" customFormat="1" ht="30" customHeight="1" x14ac:dyDescent="0.25">
      <c r="A216" s="56">
        <v>215</v>
      </c>
      <c r="B216" s="57" t="s">
        <v>245</v>
      </c>
      <c r="C216" s="57" t="s">
        <v>537</v>
      </c>
      <c r="D216" s="56" t="s">
        <v>618</v>
      </c>
      <c r="E216" s="56" t="s">
        <v>643</v>
      </c>
      <c r="G216" s="56" t="str">
        <f>VLOOKUP(Table1[[#This Row],[Project Code]],'[6]Combined Nov''25'!$E:$I,5,FALSE)</f>
        <v>Fully Closed</v>
      </c>
      <c r="H216" s="59">
        <v>45202</v>
      </c>
      <c r="I216" s="59">
        <v>45230</v>
      </c>
      <c r="J216" s="59"/>
      <c r="K216" s="57" t="s">
        <v>727</v>
      </c>
      <c r="L216" s="57" t="s">
        <v>767</v>
      </c>
      <c r="M216" s="56" t="s">
        <v>844</v>
      </c>
      <c r="N216" s="56" t="s">
        <v>911</v>
      </c>
      <c r="O216" s="57" t="s">
        <v>857</v>
      </c>
      <c r="P216" s="56" t="s">
        <v>865</v>
      </c>
      <c r="Q216" s="57" t="s">
        <v>887</v>
      </c>
      <c r="T216" s="57" t="s">
        <v>1000</v>
      </c>
      <c r="U216" s="57" t="s">
        <v>1161</v>
      </c>
      <c r="V216" s="56" t="s">
        <v>1057</v>
      </c>
      <c r="W216" s="60">
        <v>485595</v>
      </c>
      <c r="X216" s="56" t="s">
        <v>1489</v>
      </c>
      <c r="Y216" s="56" t="s">
        <v>1489</v>
      </c>
      <c r="Z216" s="56" t="s">
        <v>1490</v>
      </c>
      <c r="AA216" s="56" t="s">
        <v>1490</v>
      </c>
      <c r="AB216" s="56" t="s">
        <v>1490</v>
      </c>
      <c r="AC216" s="56" t="s">
        <v>1490</v>
      </c>
      <c r="AD216" s="56" t="s">
        <v>1490</v>
      </c>
      <c r="AE216" s="56" t="s">
        <v>1490</v>
      </c>
      <c r="AF216" s="56" t="s">
        <v>1490</v>
      </c>
      <c r="AG216" s="56" t="s">
        <v>1490</v>
      </c>
      <c r="AH216" s="56" t="s">
        <v>1490</v>
      </c>
      <c r="AI216" s="56" t="s">
        <v>1490</v>
      </c>
      <c r="AJ216" s="56" t="s">
        <v>1490</v>
      </c>
      <c r="AK216" s="56" t="s">
        <v>1490</v>
      </c>
    </row>
    <row r="217" spans="1:37" s="56" customFormat="1" ht="30" customHeight="1" x14ac:dyDescent="0.25">
      <c r="A217" s="56">
        <v>216</v>
      </c>
      <c r="B217" s="57" t="s">
        <v>246</v>
      </c>
      <c r="C217" s="57" t="s">
        <v>538</v>
      </c>
      <c r="D217" s="56" t="s">
        <v>618</v>
      </c>
      <c r="E217" s="56" t="s">
        <v>643</v>
      </c>
      <c r="G217" s="56" t="str">
        <f>VLOOKUP(Table1[[#This Row],[Project Code]],'[6]Combined Nov''25'!$E:$I,5,FALSE)</f>
        <v>Fully Closed</v>
      </c>
      <c r="H217" s="59">
        <v>45212</v>
      </c>
      <c r="I217" s="59">
        <v>45260</v>
      </c>
      <c r="J217" s="59"/>
      <c r="K217" s="57" t="s">
        <v>730</v>
      </c>
      <c r="L217" s="57" t="s">
        <v>827</v>
      </c>
      <c r="M217" s="56" t="s">
        <v>844</v>
      </c>
      <c r="N217" s="56" t="s">
        <v>911</v>
      </c>
      <c r="O217" s="57" t="s">
        <v>857</v>
      </c>
      <c r="P217" s="56" t="s">
        <v>883</v>
      </c>
      <c r="Q217" s="57" t="s">
        <v>887</v>
      </c>
      <c r="T217" s="57" t="s">
        <v>1001</v>
      </c>
      <c r="U217" s="57" t="s">
        <v>1167</v>
      </c>
      <c r="V217" s="56" t="s">
        <v>1057</v>
      </c>
      <c r="W217" s="60">
        <v>1400000</v>
      </c>
      <c r="X217" s="56" t="s">
        <v>1489</v>
      </c>
      <c r="Y217" s="56" t="s">
        <v>1489</v>
      </c>
      <c r="Z217" s="56" t="s">
        <v>1490</v>
      </c>
      <c r="AA217" s="56" t="s">
        <v>1490</v>
      </c>
      <c r="AB217" s="56" t="s">
        <v>1490</v>
      </c>
      <c r="AC217" s="56" t="s">
        <v>1490</v>
      </c>
      <c r="AD217" s="56" t="s">
        <v>1490</v>
      </c>
      <c r="AE217" s="56" t="s">
        <v>1490</v>
      </c>
      <c r="AF217" s="56" t="s">
        <v>1490</v>
      </c>
      <c r="AG217" s="56" t="s">
        <v>1490</v>
      </c>
      <c r="AH217" s="56" t="s">
        <v>1490</v>
      </c>
      <c r="AI217" s="56" t="s">
        <v>1490</v>
      </c>
      <c r="AJ217" s="56" t="s">
        <v>1490</v>
      </c>
      <c r="AK217" s="56" t="s">
        <v>1490</v>
      </c>
    </row>
    <row r="218" spans="1:37" s="56" customFormat="1" ht="30" customHeight="1" x14ac:dyDescent="0.25">
      <c r="A218" s="56">
        <v>217</v>
      </c>
      <c r="B218" s="57" t="s">
        <v>247</v>
      </c>
      <c r="C218" s="57" t="s">
        <v>539</v>
      </c>
      <c r="D218" s="56" t="s">
        <v>618</v>
      </c>
      <c r="E218" s="56" t="s">
        <v>641</v>
      </c>
      <c r="G218" s="56" t="str">
        <f>VLOOKUP(Table1[[#This Row],[Project Code]],'[6]Combined Nov''25'!$E:$I,5,FALSE)</f>
        <v>Ongoing</v>
      </c>
      <c r="H218" s="59">
        <v>45217</v>
      </c>
      <c r="I218" s="59">
        <v>45200</v>
      </c>
      <c r="J218" s="59">
        <f>VLOOKUP(Table1[[#This Row],[Project Code]],'[6]Combined Nov''25'!$E:$O,10,FALSE)</f>
        <v>46098</v>
      </c>
      <c r="K218" s="69" t="str">
        <f>VLOOKUP(Table1[[#This Row],[Project Code]],'[6]Combined Nov''25'!$E:$K,6,FALSE)</f>
        <v>Uttar pradesh</v>
      </c>
      <c r="L218" s="69" t="s">
        <v>767</v>
      </c>
      <c r="M218" s="73" t="s">
        <v>844</v>
      </c>
      <c r="N218" s="73" t="s">
        <v>911</v>
      </c>
      <c r="O218" s="69" t="s">
        <v>857</v>
      </c>
      <c r="P218" s="73" t="s">
        <v>865</v>
      </c>
      <c r="Q218" s="57" t="s">
        <v>887</v>
      </c>
      <c r="T218" s="57" t="s">
        <v>1002</v>
      </c>
      <c r="U218" s="57" t="s">
        <v>1168</v>
      </c>
      <c r="V218" s="56" t="s">
        <v>1058</v>
      </c>
      <c r="W218" s="60">
        <v>18166400</v>
      </c>
      <c r="X218" s="56" t="s">
        <v>1489</v>
      </c>
      <c r="Y218" s="56" t="s">
        <v>1489</v>
      </c>
      <c r="Z218" s="56" t="s">
        <v>1490</v>
      </c>
      <c r="AA218" s="56" t="s">
        <v>1490</v>
      </c>
      <c r="AC218" s="56" t="s">
        <v>1490</v>
      </c>
      <c r="AD218" s="56" t="s">
        <v>1490</v>
      </c>
      <c r="AE218" s="56" t="s">
        <v>1490</v>
      </c>
      <c r="AF218" s="56" t="s">
        <v>1490</v>
      </c>
      <c r="AG218" s="56" t="s">
        <v>1490</v>
      </c>
      <c r="AH218" s="56" t="s">
        <v>1490</v>
      </c>
      <c r="AI218" s="56" t="s">
        <v>1490</v>
      </c>
      <c r="AJ218" s="56" t="s">
        <v>1490</v>
      </c>
      <c r="AK218" s="56" t="s">
        <v>1490</v>
      </c>
    </row>
    <row r="219" spans="1:37" s="56" customFormat="1" ht="30" customHeight="1" x14ac:dyDescent="0.25">
      <c r="A219" s="56">
        <v>218</v>
      </c>
      <c r="B219" s="57" t="s">
        <v>248</v>
      </c>
      <c r="C219" s="57" t="s">
        <v>540</v>
      </c>
      <c r="D219" s="56" t="s">
        <v>619</v>
      </c>
      <c r="E219" s="56" t="s">
        <v>632</v>
      </c>
      <c r="G219" s="56" t="str">
        <f>VLOOKUP(Table1[[#This Row],[Project Code]],'[6]Combined Nov''25'!$E:$I,5,FALSE)</f>
        <v>Fully Closed</v>
      </c>
      <c r="H219" s="59">
        <v>45241</v>
      </c>
      <c r="I219" s="59">
        <v>45333</v>
      </c>
      <c r="J219" s="59"/>
      <c r="K219" s="57" t="s">
        <v>731</v>
      </c>
      <c r="L219" s="57" t="s">
        <v>828</v>
      </c>
      <c r="M219" s="56" t="s">
        <v>844</v>
      </c>
      <c r="N219" s="56" t="s">
        <v>895</v>
      </c>
      <c r="O219" s="57" t="s">
        <v>861</v>
      </c>
      <c r="P219" s="56" t="s">
        <v>868</v>
      </c>
      <c r="Q219" s="57" t="s">
        <v>887</v>
      </c>
      <c r="T219" s="57" t="s">
        <v>1003</v>
      </c>
      <c r="U219" s="57" t="s">
        <v>1169</v>
      </c>
      <c r="V219" s="56" t="s">
        <v>1057</v>
      </c>
      <c r="W219" s="60">
        <v>28000000</v>
      </c>
      <c r="X219" s="56" t="s">
        <v>1489</v>
      </c>
      <c r="Y219" s="56" t="s">
        <v>1489</v>
      </c>
      <c r="Z219" s="56" t="s">
        <v>1490</v>
      </c>
      <c r="AA219" s="56" t="s">
        <v>1490</v>
      </c>
      <c r="AB219" s="56" t="s">
        <v>1490</v>
      </c>
      <c r="AC219" s="56" t="s">
        <v>1490</v>
      </c>
      <c r="AD219" s="56" t="s">
        <v>1490</v>
      </c>
      <c r="AE219" s="56" t="s">
        <v>1490</v>
      </c>
      <c r="AF219" s="56" t="s">
        <v>1490</v>
      </c>
      <c r="AG219" s="56" t="s">
        <v>1490</v>
      </c>
      <c r="AH219" s="56" t="s">
        <v>1490</v>
      </c>
      <c r="AI219" s="56" t="s">
        <v>1490</v>
      </c>
      <c r="AJ219" s="56" t="s">
        <v>1490</v>
      </c>
      <c r="AK219" s="56" t="s">
        <v>1490</v>
      </c>
    </row>
    <row r="220" spans="1:37" s="56" customFormat="1" ht="30" customHeight="1" x14ac:dyDescent="0.25">
      <c r="A220" s="56">
        <v>219</v>
      </c>
      <c r="B220" s="57" t="s">
        <v>249</v>
      </c>
      <c r="C220" s="57" t="s">
        <v>541</v>
      </c>
      <c r="D220" s="56" t="s">
        <v>618</v>
      </c>
      <c r="E220" s="56" t="s">
        <v>643</v>
      </c>
      <c r="G220" s="56" t="str">
        <f>VLOOKUP(Table1[[#This Row],[Project Code]],'[6]Combined Nov''25'!$E:$I,5,FALSE)</f>
        <v>Fully Closed</v>
      </c>
      <c r="H220" s="59">
        <v>45261</v>
      </c>
      <c r="I220" s="59" t="s">
        <v>667</v>
      </c>
      <c r="J220" s="59"/>
      <c r="K220" s="57" t="s">
        <v>700</v>
      </c>
      <c r="L220" s="57" t="s">
        <v>801</v>
      </c>
      <c r="M220" s="56" t="s">
        <v>844</v>
      </c>
      <c r="N220" s="56" t="s">
        <v>902</v>
      </c>
      <c r="O220" s="57" t="s">
        <v>859</v>
      </c>
      <c r="P220" s="56" t="s">
        <v>875</v>
      </c>
      <c r="Q220" s="57" t="s">
        <v>888</v>
      </c>
      <c r="T220" s="57" t="s">
        <v>1004</v>
      </c>
      <c r="U220" s="57" t="s">
        <v>1170</v>
      </c>
      <c r="V220" s="56" t="s">
        <v>1057</v>
      </c>
      <c r="W220" s="60">
        <v>1500000</v>
      </c>
      <c r="X220" s="56" t="s">
        <v>1489</v>
      </c>
      <c r="Y220" s="56" t="s">
        <v>1489</v>
      </c>
      <c r="Z220" s="56" t="s">
        <v>1490</v>
      </c>
      <c r="AA220" s="56" t="s">
        <v>1490</v>
      </c>
      <c r="AB220" s="56" t="s">
        <v>1490</v>
      </c>
      <c r="AC220" s="56" t="s">
        <v>1490</v>
      </c>
      <c r="AD220" s="56" t="s">
        <v>1490</v>
      </c>
      <c r="AE220" s="56" t="s">
        <v>1490</v>
      </c>
      <c r="AF220" s="56" t="s">
        <v>1490</v>
      </c>
      <c r="AG220" s="56" t="s">
        <v>1490</v>
      </c>
      <c r="AH220" s="56" t="s">
        <v>1490</v>
      </c>
      <c r="AI220" s="56" t="s">
        <v>1490</v>
      </c>
      <c r="AJ220" s="56" t="s">
        <v>1490</v>
      </c>
      <c r="AK220" s="56" t="s">
        <v>1490</v>
      </c>
    </row>
    <row r="221" spans="1:37" s="56" customFormat="1" ht="30" customHeight="1" x14ac:dyDescent="0.25">
      <c r="A221" s="56">
        <v>220</v>
      </c>
      <c r="B221" s="57" t="s">
        <v>250</v>
      </c>
      <c r="C221" s="57" t="s">
        <v>542</v>
      </c>
      <c r="D221" s="56" t="s">
        <v>622</v>
      </c>
      <c r="E221" s="56" t="s">
        <v>645</v>
      </c>
      <c r="G221" s="56" t="str">
        <f>VLOOKUP(Table1[[#This Row],[Project Code]],'[6]Combined Nov''25'!$E:$I,5,FALSE)</f>
        <v>Completed</v>
      </c>
      <c r="H221" s="59">
        <v>45239</v>
      </c>
      <c r="I221" s="59">
        <v>45413</v>
      </c>
      <c r="J221" s="59">
        <f>VLOOKUP(Table1[[#This Row],[Project Code]],'[6]Combined Nov''25'!$E:$O,10,FALSE)</f>
        <v>45747</v>
      </c>
      <c r="K221" s="69" t="s">
        <v>542</v>
      </c>
      <c r="L221" s="69" t="s">
        <v>829</v>
      </c>
      <c r="M221" s="73" t="s">
        <v>843</v>
      </c>
      <c r="N221" s="73" t="s">
        <v>922</v>
      </c>
      <c r="O221" s="69" t="s">
        <v>860</v>
      </c>
      <c r="P221" s="73" t="s">
        <v>864</v>
      </c>
      <c r="Q221" s="57" t="s">
        <v>887</v>
      </c>
      <c r="T221" s="57" t="s">
        <v>1005</v>
      </c>
      <c r="U221" s="57" t="s">
        <v>1171</v>
      </c>
      <c r="V221" s="56" t="s">
        <v>1057</v>
      </c>
      <c r="W221" s="62" t="s">
        <v>1508</v>
      </c>
      <c r="X221" s="56" t="s">
        <v>1489</v>
      </c>
      <c r="Y221" s="56" t="s">
        <v>1489</v>
      </c>
      <c r="Z221" s="56" t="s">
        <v>1490</v>
      </c>
      <c r="AA221" s="56" t="s">
        <v>1490</v>
      </c>
      <c r="AB221" s="56" t="s">
        <v>1490</v>
      </c>
      <c r="AC221" s="56" t="s">
        <v>1490</v>
      </c>
      <c r="AD221" s="56" t="s">
        <v>1490</v>
      </c>
      <c r="AE221" s="56" t="s">
        <v>1490</v>
      </c>
      <c r="AF221" s="56" t="s">
        <v>1490</v>
      </c>
      <c r="AG221" s="56" t="s">
        <v>1490</v>
      </c>
      <c r="AH221" s="56" t="s">
        <v>1490</v>
      </c>
      <c r="AI221" s="56" t="s">
        <v>1490</v>
      </c>
      <c r="AJ221" s="56" t="s">
        <v>1490</v>
      </c>
      <c r="AK221" s="56" t="s">
        <v>1490</v>
      </c>
    </row>
    <row r="222" spans="1:37" s="56" customFormat="1" ht="30" customHeight="1" x14ac:dyDescent="0.25">
      <c r="A222" s="56">
        <v>221</v>
      </c>
      <c r="B222" s="57" t="s">
        <v>251</v>
      </c>
      <c r="C222" s="57" t="s">
        <v>543</v>
      </c>
      <c r="D222" s="56" t="s">
        <v>618</v>
      </c>
      <c r="E222" s="56" t="s">
        <v>647</v>
      </c>
      <c r="G222" s="56" t="str">
        <f>VLOOKUP(Table1[[#This Row],[Project Code]],'[6]Combined Nov''25'!$E:$I,5,FALSE)</f>
        <v>Ongoing</v>
      </c>
      <c r="H222" s="59">
        <v>45261</v>
      </c>
      <c r="I222" s="59">
        <v>45444</v>
      </c>
      <c r="J222" s="59"/>
      <c r="K222" s="69" t="s">
        <v>732</v>
      </c>
      <c r="L222" s="69" t="s">
        <v>732</v>
      </c>
      <c r="M222" s="73" t="s">
        <v>851</v>
      </c>
      <c r="N222" s="73" t="s">
        <v>906</v>
      </c>
      <c r="O222" s="69" t="s">
        <v>859</v>
      </c>
      <c r="P222" s="73" t="s">
        <v>881</v>
      </c>
      <c r="Q222" s="57" t="s">
        <v>887</v>
      </c>
      <c r="T222" s="57" t="s">
        <v>1006</v>
      </c>
      <c r="U222" s="57" t="s">
        <v>1172</v>
      </c>
      <c r="V222" s="56" t="s">
        <v>1058</v>
      </c>
      <c r="W222" s="60">
        <v>3722213.67</v>
      </c>
      <c r="X222" s="56" t="s">
        <v>1489</v>
      </c>
      <c r="Y222" s="56" t="s">
        <v>1489</v>
      </c>
      <c r="Z222" s="56" t="s">
        <v>1490</v>
      </c>
      <c r="AA222" s="56" t="s">
        <v>1490</v>
      </c>
      <c r="AB222" s="56" t="s">
        <v>1490</v>
      </c>
      <c r="AC222" s="56" t="s">
        <v>1490</v>
      </c>
      <c r="AD222" s="56" t="s">
        <v>1490</v>
      </c>
      <c r="AE222" s="56" t="s">
        <v>1490</v>
      </c>
      <c r="AF222" s="56" t="s">
        <v>1490</v>
      </c>
      <c r="AG222" s="56" t="s">
        <v>1490</v>
      </c>
      <c r="AH222" s="56" t="s">
        <v>1490</v>
      </c>
      <c r="AI222" s="56" t="s">
        <v>1490</v>
      </c>
      <c r="AJ222" s="56" t="s">
        <v>1490</v>
      </c>
      <c r="AK222" s="56" t="s">
        <v>1490</v>
      </c>
    </row>
    <row r="223" spans="1:37" s="56" customFormat="1" ht="30" customHeight="1" x14ac:dyDescent="0.25">
      <c r="A223" s="56">
        <v>222</v>
      </c>
      <c r="B223" s="57" t="s">
        <v>252</v>
      </c>
      <c r="C223" s="57" t="s">
        <v>544</v>
      </c>
      <c r="D223" s="56" t="s">
        <v>618</v>
      </c>
      <c r="E223" s="56" t="s">
        <v>643</v>
      </c>
      <c r="G223" s="56" t="str">
        <f>VLOOKUP(Table1[[#This Row],[Project Code]],'[6]Combined Nov''25'!$E:$I,5,FALSE)</f>
        <v>Fully Closed</v>
      </c>
      <c r="H223" s="59">
        <v>45246</v>
      </c>
      <c r="I223" s="59">
        <v>45504</v>
      </c>
      <c r="J223" s="59">
        <f>VLOOKUP(Table1[[#This Row],[Project Code]],'[6]Combined Nov''25'!$E:$O,10,FALSE)</f>
        <v>45443</v>
      </c>
      <c r="K223" s="69" t="str">
        <f>VLOOKUP(Table1[[#This Row],[Project Code]],'[6]Combined Nov''25'!$E:$K,6,FALSE)</f>
        <v>MoRTH</v>
      </c>
      <c r="L223" s="57" t="s">
        <v>784</v>
      </c>
      <c r="M223" s="56" t="s">
        <v>843</v>
      </c>
      <c r="N223" s="56" t="s">
        <v>916</v>
      </c>
      <c r="O223" s="57" t="s">
        <v>863</v>
      </c>
      <c r="P223" s="56" t="s">
        <v>864</v>
      </c>
      <c r="Q223" s="57" t="s">
        <v>886</v>
      </c>
      <c r="T223" s="57" t="s">
        <v>1007</v>
      </c>
      <c r="U223" s="57" t="s">
        <v>1173</v>
      </c>
      <c r="V223" s="56" t="s">
        <v>1057</v>
      </c>
      <c r="W223" s="60">
        <v>9718800</v>
      </c>
      <c r="X223" s="56" t="s">
        <v>1489</v>
      </c>
      <c r="Y223" s="56" t="s">
        <v>1489</v>
      </c>
      <c r="Z223" s="56" t="s">
        <v>1490</v>
      </c>
      <c r="AA223" s="56" t="s">
        <v>1490</v>
      </c>
      <c r="AB223" s="56" t="s">
        <v>1490</v>
      </c>
      <c r="AC223" s="56" t="s">
        <v>1490</v>
      </c>
      <c r="AD223" s="56" t="s">
        <v>1490</v>
      </c>
      <c r="AE223" s="56" t="s">
        <v>1490</v>
      </c>
      <c r="AF223" s="56" t="s">
        <v>1490</v>
      </c>
      <c r="AG223" s="56" t="s">
        <v>1490</v>
      </c>
      <c r="AH223" s="56" t="s">
        <v>1490</v>
      </c>
      <c r="AI223" s="56" t="s">
        <v>1490</v>
      </c>
      <c r="AJ223" s="56" t="s">
        <v>1490</v>
      </c>
      <c r="AK223" s="56" t="s">
        <v>1490</v>
      </c>
    </row>
    <row r="224" spans="1:37" s="56" customFormat="1" ht="30" customHeight="1" x14ac:dyDescent="0.25">
      <c r="A224" s="56">
        <v>223</v>
      </c>
      <c r="B224" s="57" t="s">
        <v>253</v>
      </c>
      <c r="C224" s="57" t="s">
        <v>545</v>
      </c>
      <c r="D224" s="56" t="s">
        <v>618</v>
      </c>
      <c r="E224" s="56" t="s">
        <v>643</v>
      </c>
      <c r="G224" s="56" t="str">
        <f>VLOOKUP(Table1[[#This Row],[Project Code]],'[6]Combined Nov''25'!$E:$I,5,FALSE)</f>
        <v>Fully Closed</v>
      </c>
      <c r="H224" s="59">
        <v>45248</v>
      </c>
      <c r="I224" s="59">
        <v>45747</v>
      </c>
      <c r="J224" s="59"/>
      <c r="K224" s="57" t="s">
        <v>717</v>
      </c>
      <c r="L224" s="57" t="s">
        <v>767</v>
      </c>
      <c r="M224" s="56" t="s">
        <v>844</v>
      </c>
      <c r="N224" s="56" t="s">
        <v>916</v>
      </c>
      <c r="O224" s="57" t="s">
        <v>857</v>
      </c>
      <c r="P224" s="56" t="s">
        <v>865</v>
      </c>
      <c r="Q224" s="57" t="s">
        <v>887</v>
      </c>
      <c r="T224" s="57" t="s">
        <v>1008</v>
      </c>
      <c r="U224" s="57" t="s">
        <v>1174</v>
      </c>
      <c r="V224" s="56" t="s">
        <v>1057</v>
      </c>
      <c r="W224" s="60">
        <v>3114608</v>
      </c>
      <c r="X224" s="56" t="s">
        <v>1489</v>
      </c>
      <c r="Y224" s="56" t="s">
        <v>1489</v>
      </c>
      <c r="Z224" s="56" t="s">
        <v>1490</v>
      </c>
      <c r="AA224" s="56" t="s">
        <v>1490</v>
      </c>
      <c r="AB224" s="56" t="s">
        <v>1490</v>
      </c>
      <c r="AC224" s="56" t="s">
        <v>1490</v>
      </c>
      <c r="AD224" s="56" t="s">
        <v>1490</v>
      </c>
      <c r="AE224" s="56" t="s">
        <v>1490</v>
      </c>
      <c r="AF224" s="56" t="s">
        <v>1490</v>
      </c>
      <c r="AG224" s="56" t="s">
        <v>1490</v>
      </c>
      <c r="AH224" s="56" t="s">
        <v>1490</v>
      </c>
      <c r="AI224" s="56" t="s">
        <v>1490</v>
      </c>
      <c r="AJ224" s="56" t="s">
        <v>1490</v>
      </c>
      <c r="AK224" s="56" t="s">
        <v>1490</v>
      </c>
    </row>
    <row r="225" spans="1:37" s="56" customFormat="1" ht="30" customHeight="1" x14ac:dyDescent="0.25">
      <c r="A225" s="56">
        <v>224</v>
      </c>
      <c r="B225" s="57" t="s">
        <v>254</v>
      </c>
      <c r="C225" s="57" t="s">
        <v>546</v>
      </c>
      <c r="D225" s="56" t="s">
        <v>617</v>
      </c>
      <c r="E225" s="56" t="s">
        <v>646</v>
      </c>
      <c r="G225" s="56" t="str">
        <f>VLOOKUP(Table1[[#This Row],[Project Code]],'[6]Combined Nov''25'!$E:$I,5,FALSE)</f>
        <v>Fully Closed</v>
      </c>
      <c r="H225" s="59">
        <v>45250</v>
      </c>
      <c r="I225" s="59">
        <v>45493</v>
      </c>
      <c r="J225" s="59">
        <f>VLOOKUP(Table1[[#This Row],[Project Code]],'[6]Combined Nov''25'!$E:$O,10,FALSE)</f>
        <v>45747</v>
      </c>
      <c r="K225" s="69" t="str">
        <f>VLOOKUP(Table1[[#This Row],[Project Code]],'[6]Combined Nov''25'!$E:$K,6,FALSE)</f>
        <v>Ministry of Housing and Urban Affairs (MoHUA)</v>
      </c>
      <c r="L225" s="69" t="s">
        <v>696</v>
      </c>
      <c r="M225" s="73" t="s">
        <v>843</v>
      </c>
      <c r="N225" s="73" t="s">
        <v>914</v>
      </c>
      <c r="O225" s="69" t="s">
        <v>863</v>
      </c>
      <c r="P225" s="73" t="s">
        <v>864</v>
      </c>
      <c r="Q225" s="57" t="s">
        <v>886</v>
      </c>
      <c r="T225" s="57" t="s">
        <v>1009</v>
      </c>
      <c r="U225" s="57" t="s">
        <v>1175</v>
      </c>
      <c r="V225" s="56" t="s">
        <v>1057</v>
      </c>
      <c r="W225" s="60">
        <v>57456000</v>
      </c>
      <c r="X225" s="56" t="s">
        <v>1489</v>
      </c>
      <c r="Y225" s="56" t="s">
        <v>1489</v>
      </c>
      <c r="Z225" s="56" t="s">
        <v>1490</v>
      </c>
      <c r="AA225" s="56" t="s">
        <v>1490</v>
      </c>
      <c r="AB225" s="56" t="s">
        <v>1490</v>
      </c>
      <c r="AC225" s="56" t="s">
        <v>1490</v>
      </c>
      <c r="AD225" s="56" t="s">
        <v>1490</v>
      </c>
      <c r="AE225" s="56" t="s">
        <v>1490</v>
      </c>
      <c r="AF225" s="56" t="s">
        <v>1490</v>
      </c>
      <c r="AG225" s="56" t="s">
        <v>1490</v>
      </c>
      <c r="AH225" s="56" t="s">
        <v>1490</v>
      </c>
      <c r="AI225" s="56" t="s">
        <v>1490</v>
      </c>
      <c r="AJ225" s="56" t="s">
        <v>1490</v>
      </c>
      <c r="AK225" s="56" t="s">
        <v>1490</v>
      </c>
    </row>
    <row r="226" spans="1:37" s="56" customFormat="1" ht="30" customHeight="1" x14ac:dyDescent="0.25">
      <c r="A226" s="56">
        <v>225</v>
      </c>
      <c r="B226" s="57" t="s">
        <v>255</v>
      </c>
      <c r="C226" s="57" t="s">
        <v>547</v>
      </c>
      <c r="D226" s="56" t="s">
        <v>621</v>
      </c>
      <c r="E226" s="56" t="s">
        <v>654</v>
      </c>
      <c r="G226" s="56" t="str">
        <f>VLOOKUP(Table1[[#This Row],[Project Code]],'[6]Combined Nov''25'!$E:$I,5,FALSE)</f>
        <v>Completed</v>
      </c>
      <c r="H226" s="59">
        <v>45260</v>
      </c>
      <c r="I226" s="59">
        <v>45292</v>
      </c>
      <c r="J226" s="59"/>
      <c r="K226" s="69" t="s">
        <v>733</v>
      </c>
      <c r="L226" s="69" t="s">
        <v>814</v>
      </c>
      <c r="M226" s="73" t="s">
        <v>844</v>
      </c>
      <c r="N226" s="73" t="s">
        <v>913</v>
      </c>
      <c r="O226" s="69" t="s">
        <v>858</v>
      </c>
      <c r="P226" s="73" t="s">
        <v>877</v>
      </c>
      <c r="Q226" s="57" t="s">
        <v>887</v>
      </c>
      <c r="T226" s="57" t="s">
        <v>1010</v>
      </c>
      <c r="U226" s="57" t="s">
        <v>1176</v>
      </c>
      <c r="V226" s="56" t="s">
        <v>1057</v>
      </c>
      <c r="W226" s="60">
        <v>3677260</v>
      </c>
      <c r="X226" s="56" t="s">
        <v>1489</v>
      </c>
      <c r="Y226" s="56" t="s">
        <v>1489</v>
      </c>
      <c r="Z226" s="56" t="s">
        <v>1490</v>
      </c>
      <c r="AA226" s="56" t="s">
        <v>1490</v>
      </c>
      <c r="AB226" s="56" t="s">
        <v>1490</v>
      </c>
      <c r="AC226" s="56" t="s">
        <v>1490</v>
      </c>
      <c r="AD226" s="56" t="s">
        <v>1490</v>
      </c>
      <c r="AE226" s="56" t="s">
        <v>1490</v>
      </c>
      <c r="AF226" s="56" t="s">
        <v>1490</v>
      </c>
      <c r="AG226" s="56" t="s">
        <v>1490</v>
      </c>
      <c r="AH226" s="56" t="s">
        <v>1490</v>
      </c>
      <c r="AI226" s="56" t="s">
        <v>1490</v>
      </c>
      <c r="AJ226" s="56" t="s">
        <v>1490</v>
      </c>
      <c r="AK226" s="56" t="s">
        <v>1490</v>
      </c>
    </row>
    <row r="227" spans="1:37" s="56" customFormat="1" ht="30" customHeight="1" x14ac:dyDescent="0.25">
      <c r="A227" s="56">
        <v>226</v>
      </c>
      <c r="B227" s="57" t="s">
        <v>256</v>
      </c>
      <c r="C227" s="57" t="s">
        <v>548</v>
      </c>
      <c r="D227" s="56" t="s">
        <v>618</v>
      </c>
      <c r="E227" s="56" t="s">
        <v>627</v>
      </c>
      <c r="G227" s="56" t="str">
        <f>VLOOKUP(Table1[[#This Row],[Project Code]],'[6]Combined Nov''25'!$E:$I,5,FALSE)</f>
        <v>Completed</v>
      </c>
      <c r="H227" s="59">
        <v>45292</v>
      </c>
      <c r="I227" s="59">
        <v>45504</v>
      </c>
      <c r="J227" s="59">
        <f>VLOOKUP(Table1[[#This Row],[Project Code]],'[6]Combined Nov''25'!$E:$O,10,FALSE)</f>
        <v>45807</v>
      </c>
      <c r="K227" s="69" t="s">
        <v>734</v>
      </c>
      <c r="L227" s="69" t="s">
        <v>811</v>
      </c>
      <c r="M227" s="73" t="s">
        <v>843</v>
      </c>
      <c r="N227" s="73" t="s">
        <v>921</v>
      </c>
      <c r="O227" s="69" t="s">
        <v>863</v>
      </c>
      <c r="P227" s="73" t="s">
        <v>864</v>
      </c>
      <c r="Q227" s="57" t="s">
        <v>887</v>
      </c>
      <c r="T227" s="57" t="s">
        <v>1011</v>
      </c>
      <c r="U227" s="57" t="s">
        <v>1177</v>
      </c>
      <c r="V227" s="56" t="s">
        <v>1057</v>
      </c>
      <c r="W227" s="60">
        <v>5824000</v>
      </c>
      <c r="X227" s="56" t="s">
        <v>1489</v>
      </c>
      <c r="Y227" s="56" t="s">
        <v>1489</v>
      </c>
      <c r="Z227" s="56" t="s">
        <v>1490</v>
      </c>
      <c r="AA227" s="56" t="s">
        <v>1490</v>
      </c>
      <c r="AB227" s="56" t="s">
        <v>1490</v>
      </c>
      <c r="AC227" s="56" t="s">
        <v>1490</v>
      </c>
      <c r="AD227" s="56" t="s">
        <v>1490</v>
      </c>
      <c r="AE227" s="56" t="s">
        <v>1490</v>
      </c>
      <c r="AF227" s="56" t="s">
        <v>1490</v>
      </c>
      <c r="AG227" s="56" t="s">
        <v>1490</v>
      </c>
      <c r="AH227" s="56" t="s">
        <v>1490</v>
      </c>
      <c r="AI227" s="56" t="s">
        <v>1490</v>
      </c>
      <c r="AJ227" s="56" t="s">
        <v>1490</v>
      </c>
      <c r="AK227" s="56" t="s">
        <v>1490</v>
      </c>
    </row>
    <row r="228" spans="1:37" s="56" customFormat="1" ht="30" customHeight="1" x14ac:dyDescent="0.25">
      <c r="A228" s="56">
        <v>227</v>
      </c>
      <c r="B228" s="57" t="s">
        <v>257</v>
      </c>
      <c r="C228" s="57" t="s">
        <v>549</v>
      </c>
      <c r="D228" s="56" t="s">
        <v>622</v>
      </c>
      <c r="E228" s="56" t="s">
        <v>645</v>
      </c>
      <c r="G228" s="56" t="str">
        <f>VLOOKUP(Table1[[#This Row],[Project Code]],'[6]Combined Nov''25'!$E:$I,5,FALSE)</f>
        <v>Fully Closed</v>
      </c>
      <c r="H228" s="59">
        <v>45286</v>
      </c>
      <c r="I228" s="59">
        <v>45017</v>
      </c>
      <c r="J228" s="59" t="str">
        <f>VLOOKUP(Table1[[#This Row],[Project Code]],'[6]Combined Nov''25'!$E:$O,10,FALSE)</f>
        <v>NA</v>
      </c>
      <c r="K228" s="69" t="str">
        <f>VLOOKUP(Table1[[#This Row],[Project Code]],'[6]Combined Nov''25'!$E:$K,6,FALSE)</f>
        <v>Ministry of Fisheries, Animal Husbandry and Dairying, GoI</v>
      </c>
      <c r="L228" s="57" t="s">
        <v>821</v>
      </c>
      <c r="M228" s="56" t="s">
        <v>843</v>
      </c>
      <c r="N228" s="56" t="s">
        <v>923</v>
      </c>
      <c r="O228" s="57" t="s">
        <v>860</v>
      </c>
      <c r="P228" s="56" t="s">
        <v>864</v>
      </c>
      <c r="Q228" s="57" t="s">
        <v>887</v>
      </c>
      <c r="T228" s="57" t="s">
        <v>1012</v>
      </c>
      <c r="U228" s="57" t="s">
        <v>1178</v>
      </c>
      <c r="V228" s="56" t="s">
        <v>1058</v>
      </c>
      <c r="W228" s="60">
        <v>7431200</v>
      </c>
      <c r="X228" s="56" t="s">
        <v>1489</v>
      </c>
      <c r="Y228" s="56" t="s">
        <v>1489</v>
      </c>
      <c r="Z228" s="56" t="s">
        <v>1490</v>
      </c>
      <c r="AA228" s="56" t="s">
        <v>1490</v>
      </c>
      <c r="AB228" s="56" t="s">
        <v>1490</v>
      </c>
      <c r="AC228" s="56" t="s">
        <v>1490</v>
      </c>
      <c r="AD228" s="56" t="s">
        <v>1490</v>
      </c>
      <c r="AE228" s="56" t="s">
        <v>1490</v>
      </c>
      <c r="AF228" s="56" t="s">
        <v>1490</v>
      </c>
      <c r="AG228" s="56" t="s">
        <v>1490</v>
      </c>
      <c r="AH228" s="56" t="s">
        <v>1490</v>
      </c>
      <c r="AI228" s="56" t="s">
        <v>1490</v>
      </c>
      <c r="AJ228" s="56" t="s">
        <v>1490</v>
      </c>
      <c r="AK228" s="56" t="s">
        <v>1490</v>
      </c>
    </row>
    <row r="229" spans="1:37" s="56" customFormat="1" ht="30" customHeight="1" x14ac:dyDescent="0.25">
      <c r="A229" s="56">
        <v>228</v>
      </c>
      <c r="B229" s="57" t="s">
        <v>258</v>
      </c>
      <c r="C229" s="57" t="s">
        <v>550</v>
      </c>
      <c r="D229" s="56" t="s">
        <v>617</v>
      </c>
      <c r="E229" s="56" t="s">
        <v>655</v>
      </c>
      <c r="G229" s="56" t="str">
        <f>VLOOKUP(Table1[[#This Row],[Project Code]],'[6]Combined Nov''25'!$E:$I,5,FALSE)</f>
        <v>Fully Closed</v>
      </c>
      <c r="H229" s="59">
        <v>45283</v>
      </c>
      <c r="I229" s="59">
        <v>45316</v>
      </c>
      <c r="J229" s="59">
        <f>VLOOKUP(Table1[[#This Row],[Project Code]],'[6]Combined Nov''25'!$E:$O,10,FALSE)</f>
        <v>45626</v>
      </c>
      <c r="K229" s="69" t="s">
        <v>735</v>
      </c>
      <c r="L229" s="69" t="s">
        <v>830</v>
      </c>
      <c r="M229" s="73" t="s">
        <v>843</v>
      </c>
      <c r="N229" s="73" t="s">
        <v>924</v>
      </c>
      <c r="O229" s="69" t="s">
        <v>858</v>
      </c>
      <c r="P229" s="73" t="s">
        <v>864</v>
      </c>
      <c r="Q229" s="57" t="s">
        <v>887</v>
      </c>
      <c r="T229" s="57" t="s">
        <v>1013</v>
      </c>
      <c r="U229" s="57" t="s">
        <v>1179</v>
      </c>
      <c r="V229" s="56" t="s">
        <v>1057</v>
      </c>
      <c r="W229" s="60">
        <v>17119200</v>
      </c>
      <c r="X229" s="56" t="s">
        <v>1489</v>
      </c>
      <c r="Y229" s="56" t="s">
        <v>1489</v>
      </c>
      <c r="Z229" s="56" t="s">
        <v>1490</v>
      </c>
      <c r="AA229" s="56" t="s">
        <v>1490</v>
      </c>
      <c r="AB229" s="56" t="s">
        <v>1490</v>
      </c>
      <c r="AC229" s="56" t="s">
        <v>1490</v>
      </c>
      <c r="AD229" s="56" t="s">
        <v>1490</v>
      </c>
      <c r="AE229" s="56" t="s">
        <v>1490</v>
      </c>
      <c r="AF229" s="56" t="s">
        <v>1490</v>
      </c>
      <c r="AG229" s="56" t="s">
        <v>1490</v>
      </c>
      <c r="AH229" s="56" t="s">
        <v>1490</v>
      </c>
      <c r="AI229" s="56" t="s">
        <v>1490</v>
      </c>
      <c r="AJ229" s="56" t="s">
        <v>1490</v>
      </c>
      <c r="AK229" s="56" t="s">
        <v>1490</v>
      </c>
    </row>
    <row r="230" spans="1:37" s="56" customFormat="1" ht="30" customHeight="1" x14ac:dyDescent="0.25">
      <c r="A230" s="56">
        <v>229</v>
      </c>
      <c r="B230" s="57" t="s">
        <v>259</v>
      </c>
      <c r="C230" s="57" t="s">
        <v>551</v>
      </c>
      <c r="D230" s="56" t="s">
        <v>617</v>
      </c>
      <c r="E230" s="56" t="s">
        <v>656</v>
      </c>
      <c r="G230" s="56" t="str">
        <f>VLOOKUP(Table1[[#This Row],[Project Code]],'[6]Combined Nov''25'!$E:$I,5,FALSE)</f>
        <v>Fully Closed</v>
      </c>
      <c r="H230" s="59">
        <v>45275</v>
      </c>
      <c r="I230" s="59">
        <v>45337</v>
      </c>
      <c r="J230" s="59"/>
      <c r="K230" s="69" t="str">
        <f>VLOOKUP(Table1[[#This Row],[Project Code]],'[6]Combined Nov''25'!$E:$K,6,FALSE)</f>
        <v>Ministry of Agriculture &amp; Farmers Welfare</v>
      </c>
      <c r="L230" s="57" t="s">
        <v>829</v>
      </c>
      <c r="M230" s="56" t="s">
        <v>843</v>
      </c>
      <c r="N230" s="56" t="s">
        <v>924</v>
      </c>
      <c r="O230" s="57" t="s">
        <v>858</v>
      </c>
      <c r="P230" s="56" t="s">
        <v>864</v>
      </c>
      <c r="Q230" s="57" t="s">
        <v>887</v>
      </c>
      <c r="T230" s="57" t="s">
        <v>1014</v>
      </c>
      <c r="U230" s="57" t="s">
        <v>1180</v>
      </c>
      <c r="V230" s="56" t="s">
        <v>1057</v>
      </c>
      <c r="W230" s="60">
        <v>2608125</v>
      </c>
      <c r="X230" s="56" t="s">
        <v>1489</v>
      </c>
      <c r="Y230" s="56" t="s">
        <v>1489</v>
      </c>
      <c r="Z230" s="56" t="s">
        <v>1490</v>
      </c>
      <c r="AA230" s="56" t="s">
        <v>1490</v>
      </c>
      <c r="AB230" s="56" t="s">
        <v>1490</v>
      </c>
      <c r="AC230" s="56" t="s">
        <v>1490</v>
      </c>
      <c r="AD230" s="56" t="s">
        <v>1490</v>
      </c>
      <c r="AE230" s="56" t="s">
        <v>1490</v>
      </c>
      <c r="AF230" s="56" t="s">
        <v>1490</v>
      </c>
      <c r="AG230" s="56" t="s">
        <v>1490</v>
      </c>
      <c r="AH230" s="56" t="s">
        <v>1490</v>
      </c>
      <c r="AI230" s="56" t="s">
        <v>1490</v>
      </c>
      <c r="AJ230" s="56" t="s">
        <v>1490</v>
      </c>
      <c r="AK230" s="56" t="s">
        <v>1490</v>
      </c>
    </row>
    <row r="231" spans="1:37" s="56" customFormat="1" ht="30" customHeight="1" x14ac:dyDescent="0.25">
      <c r="A231" s="56">
        <v>230</v>
      </c>
      <c r="B231" s="57" t="s">
        <v>260</v>
      </c>
      <c r="C231" s="57" t="s">
        <v>552</v>
      </c>
      <c r="D231" s="56" t="s">
        <v>615</v>
      </c>
      <c r="E231" s="56" t="s">
        <v>644</v>
      </c>
      <c r="G231" s="56" t="str">
        <f>VLOOKUP(Table1[[#This Row],[Project Code]],'[6]Combined Nov''25'!$E:$I,5,FALSE)</f>
        <v>Fully Closed</v>
      </c>
      <c r="H231" s="59">
        <v>45278</v>
      </c>
      <c r="I231" s="59">
        <v>45368</v>
      </c>
      <c r="J231" s="59" t="str">
        <f>VLOOKUP(Table1[[#This Row],[Project Code]],'[6]Combined Nov''25'!$E:$O,10,FALSE)</f>
        <v>-</v>
      </c>
      <c r="K231" s="69" t="str">
        <f>VLOOKUP(Table1[[#This Row],[Project Code]],'[6]Combined Nov''25'!$E:$K,6,FALSE)</f>
        <v>-</v>
      </c>
      <c r="L231" s="57" t="s">
        <v>768</v>
      </c>
      <c r="M231" s="56" t="s">
        <v>844</v>
      </c>
      <c r="N231" s="56" t="s">
        <v>620</v>
      </c>
      <c r="O231" s="57" t="s">
        <v>863</v>
      </c>
      <c r="P231" s="56" t="s">
        <v>866</v>
      </c>
      <c r="Q231" s="57" t="s">
        <v>886</v>
      </c>
      <c r="T231" s="57" t="s">
        <v>1015</v>
      </c>
      <c r="U231" s="57" t="s">
        <v>1181</v>
      </c>
      <c r="V231" s="56">
        <v>0</v>
      </c>
      <c r="W231" s="60">
        <v>104863240</v>
      </c>
      <c r="X231" s="56" t="s">
        <v>1489</v>
      </c>
      <c r="Y231" s="56" t="s">
        <v>1489</v>
      </c>
      <c r="Z231" s="56" t="s">
        <v>1490</v>
      </c>
      <c r="AA231" s="56" t="s">
        <v>1490</v>
      </c>
      <c r="AB231" s="56" t="s">
        <v>1490</v>
      </c>
      <c r="AC231" s="56" t="s">
        <v>1490</v>
      </c>
      <c r="AD231" s="56" t="s">
        <v>1490</v>
      </c>
      <c r="AE231" s="56" t="s">
        <v>1490</v>
      </c>
      <c r="AF231" s="56" t="s">
        <v>1490</v>
      </c>
      <c r="AG231" s="56" t="s">
        <v>1490</v>
      </c>
      <c r="AH231" s="56" t="s">
        <v>1490</v>
      </c>
      <c r="AI231" s="56" t="s">
        <v>1490</v>
      </c>
      <c r="AJ231" s="56" t="s">
        <v>1490</v>
      </c>
      <c r="AK231" s="56" t="s">
        <v>1490</v>
      </c>
    </row>
    <row r="232" spans="1:37" s="56" customFormat="1" ht="30" customHeight="1" x14ac:dyDescent="0.25">
      <c r="A232" s="56">
        <v>231</v>
      </c>
      <c r="B232" s="57" t="s">
        <v>261</v>
      </c>
      <c r="C232" s="57" t="s">
        <v>553</v>
      </c>
      <c r="D232" s="56" t="s">
        <v>617</v>
      </c>
      <c r="E232" s="56" t="s">
        <v>638</v>
      </c>
      <c r="G232" s="56" t="str">
        <f>VLOOKUP(Table1[[#This Row],[Project Code]],'[6]Combined Nov''25'!$E:$I,5,FALSE)</f>
        <v>Fully Closed</v>
      </c>
      <c r="H232" s="59">
        <v>45351</v>
      </c>
      <c r="I232" s="59">
        <v>45473</v>
      </c>
      <c r="J232" s="59">
        <f>VLOOKUP(Table1[[#This Row],[Project Code]],'[6]Combined Nov''25'!$E:$O,10,FALSE)</f>
        <v>45550</v>
      </c>
      <c r="K232" s="69" t="str">
        <f>VLOOKUP(Table1[[#This Row],[Project Code]],'[6]Combined Nov''25'!$E:$K,6,FALSE)</f>
        <v>Ministry of Consumer Affairs, Food and public distribution</v>
      </c>
      <c r="L232" s="57" t="s">
        <v>811</v>
      </c>
      <c r="M232" s="56" t="s">
        <v>843</v>
      </c>
      <c r="N232" s="56" t="s">
        <v>925</v>
      </c>
      <c r="O232" s="57" t="s">
        <v>860</v>
      </c>
      <c r="P232" s="56" t="s">
        <v>864</v>
      </c>
      <c r="Q232" s="57" t="s">
        <v>887</v>
      </c>
      <c r="T232" s="57" t="s">
        <v>1016</v>
      </c>
      <c r="U232" s="57" t="s">
        <v>1182</v>
      </c>
      <c r="V232" s="56" t="s">
        <v>1057</v>
      </c>
      <c r="W232" s="60">
        <v>11032000</v>
      </c>
      <c r="X232" s="56" t="s">
        <v>1489</v>
      </c>
      <c r="Y232" s="56" t="s">
        <v>1489</v>
      </c>
      <c r="Z232" s="56" t="s">
        <v>1490</v>
      </c>
      <c r="AA232" s="56" t="s">
        <v>1490</v>
      </c>
      <c r="AB232" s="56" t="s">
        <v>1490</v>
      </c>
      <c r="AC232" s="56" t="s">
        <v>1490</v>
      </c>
      <c r="AD232" s="56" t="s">
        <v>1490</v>
      </c>
      <c r="AE232" s="56" t="s">
        <v>1490</v>
      </c>
      <c r="AF232" s="56" t="s">
        <v>1490</v>
      </c>
      <c r="AG232" s="56" t="s">
        <v>1490</v>
      </c>
      <c r="AH232" s="56" t="s">
        <v>1490</v>
      </c>
      <c r="AI232" s="56" t="s">
        <v>1490</v>
      </c>
      <c r="AJ232" s="56" t="s">
        <v>1490</v>
      </c>
      <c r="AK232" s="56" t="s">
        <v>1490</v>
      </c>
    </row>
    <row r="233" spans="1:37" s="56" customFormat="1" ht="30" customHeight="1" x14ac:dyDescent="0.25">
      <c r="A233" s="56">
        <v>232</v>
      </c>
      <c r="B233" s="57" t="s">
        <v>262</v>
      </c>
      <c r="C233" s="57" t="s">
        <v>554</v>
      </c>
      <c r="D233" s="56" t="s">
        <v>615</v>
      </c>
      <c r="E233" s="56" t="s">
        <v>624</v>
      </c>
      <c r="G233" s="56" t="str">
        <f>VLOOKUP(Table1[[#This Row],[Project Code]],'[6]Combined Nov''25'!$E:$I,5,FALSE)</f>
        <v>Fully Closed</v>
      </c>
      <c r="H233" s="59">
        <v>45356</v>
      </c>
      <c r="I233" s="59">
        <v>45412</v>
      </c>
      <c r="J233" s="59"/>
      <c r="K233" s="57" t="s">
        <v>736</v>
      </c>
      <c r="L233" s="57" t="s">
        <v>780</v>
      </c>
      <c r="M233" s="56" t="s">
        <v>844</v>
      </c>
      <c r="N233" s="56" t="s">
        <v>926</v>
      </c>
      <c r="O233" s="57" t="s">
        <v>859</v>
      </c>
      <c r="P233" s="56" t="s">
        <v>867</v>
      </c>
      <c r="Q233" s="57" t="s">
        <v>887</v>
      </c>
      <c r="T233" s="57" t="s">
        <v>1017</v>
      </c>
      <c r="U233" s="57" t="s">
        <v>1183</v>
      </c>
      <c r="V233" s="56">
        <v>0</v>
      </c>
      <c r="W233" s="60">
        <v>8326080</v>
      </c>
      <c r="Y233" s="56" t="s">
        <v>1489</v>
      </c>
      <c r="Z233" s="56" t="s">
        <v>1490</v>
      </c>
      <c r="AA233" s="56" t="s">
        <v>1490</v>
      </c>
      <c r="AB233" s="56" t="s">
        <v>1490</v>
      </c>
      <c r="AC233" s="56" t="s">
        <v>1490</v>
      </c>
      <c r="AD233" s="56" t="s">
        <v>1490</v>
      </c>
      <c r="AE233" s="56" t="s">
        <v>1490</v>
      </c>
      <c r="AF233" s="56" t="s">
        <v>1490</v>
      </c>
      <c r="AG233" s="56" t="s">
        <v>1490</v>
      </c>
      <c r="AH233" s="56" t="s">
        <v>1490</v>
      </c>
      <c r="AI233" s="56" t="s">
        <v>1490</v>
      </c>
      <c r="AJ233" s="56" t="s">
        <v>1490</v>
      </c>
      <c r="AK233" s="56" t="s">
        <v>1490</v>
      </c>
    </row>
    <row r="234" spans="1:37" s="56" customFormat="1" ht="30" customHeight="1" x14ac:dyDescent="0.25">
      <c r="A234" s="56">
        <v>233</v>
      </c>
      <c r="B234" s="57" t="s">
        <v>263</v>
      </c>
      <c r="C234" s="57" t="s">
        <v>555</v>
      </c>
      <c r="D234" s="56" t="s">
        <v>619</v>
      </c>
      <c r="E234" s="56" t="s">
        <v>632</v>
      </c>
      <c r="G234" s="56" t="str">
        <f>VLOOKUP(Table1[[#This Row],[Project Code]],'[6]Combined Nov''25'!$E:$I,5,FALSE)</f>
        <v>Ongoing</v>
      </c>
      <c r="H234" s="59">
        <v>45357</v>
      </c>
      <c r="I234" s="59">
        <v>45540</v>
      </c>
      <c r="J234" s="59">
        <f>VLOOKUP(Table1[[#This Row],[Project Code]],'[6]Combined Nov''25'!$E:$O,10,FALSE)</f>
        <v>46112</v>
      </c>
      <c r="K234" s="69" t="s">
        <v>737</v>
      </c>
      <c r="L234" s="69" t="s">
        <v>831</v>
      </c>
      <c r="M234" s="73" t="s">
        <v>844</v>
      </c>
      <c r="N234" s="73" t="s">
        <v>895</v>
      </c>
      <c r="O234" s="69" t="s">
        <v>861</v>
      </c>
      <c r="P234" s="73" t="s">
        <v>880</v>
      </c>
      <c r="Q234" s="57" t="s">
        <v>887</v>
      </c>
      <c r="T234" s="57" t="s">
        <v>1018</v>
      </c>
      <c r="U234" s="57" t="s">
        <v>1184</v>
      </c>
      <c r="V234" s="56" t="s">
        <v>1057</v>
      </c>
      <c r="W234" s="60">
        <v>2079000</v>
      </c>
      <c r="Y234" s="56" t="s">
        <v>1489</v>
      </c>
      <c r="Z234" s="56" t="s">
        <v>1490</v>
      </c>
      <c r="AA234" s="56" t="s">
        <v>1490</v>
      </c>
      <c r="AB234" s="56" t="s">
        <v>1490</v>
      </c>
      <c r="AC234" s="56" t="s">
        <v>1490</v>
      </c>
      <c r="AD234" s="56" t="s">
        <v>1490</v>
      </c>
      <c r="AE234" s="56" t="s">
        <v>1490</v>
      </c>
      <c r="AF234" s="56" t="s">
        <v>1490</v>
      </c>
      <c r="AG234" s="56" t="s">
        <v>1490</v>
      </c>
      <c r="AH234" s="56" t="s">
        <v>1490</v>
      </c>
      <c r="AI234" s="56" t="s">
        <v>1490</v>
      </c>
      <c r="AJ234" s="56" t="s">
        <v>1490</v>
      </c>
      <c r="AK234" s="56" t="s">
        <v>1490</v>
      </c>
    </row>
    <row r="235" spans="1:37" s="56" customFormat="1" ht="30" customHeight="1" x14ac:dyDescent="0.25">
      <c r="A235" s="56">
        <v>234</v>
      </c>
      <c r="B235" s="57" t="s">
        <v>264</v>
      </c>
      <c r="C235" s="57" t="s">
        <v>556</v>
      </c>
      <c r="D235" s="56" t="s">
        <v>619</v>
      </c>
      <c r="E235" s="56" t="s">
        <v>629</v>
      </c>
      <c r="G235" s="56" t="str">
        <f>VLOOKUP(Table1[[#This Row],[Project Code]],'[6]Combined Nov''25'!$E:$I,5,FALSE)</f>
        <v>Ongoing</v>
      </c>
      <c r="H235" s="59">
        <v>45355</v>
      </c>
      <c r="I235" s="59">
        <v>46449</v>
      </c>
      <c r="J235" s="59"/>
      <c r="K235" s="69" t="str">
        <f>VLOOKUP(Table1[[#This Row],[Project Code]],'[6]Combined Nov''25'!$E:$K,6,FALSE)</f>
        <v>NTPC</v>
      </c>
      <c r="L235" s="69" t="s">
        <v>832</v>
      </c>
      <c r="M235" s="73" t="s">
        <v>847</v>
      </c>
      <c r="N235" s="73" t="s">
        <v>895</v>
      </c>
      <c r="O235" s="69" t="s">
        <v>861</v>
      </c>
      <c r="P235" s="73" t="s">
        <v>864</v>
      </c>
      <c r="Q235" s="57" t="s">
        <v>887</v>
      </c>
      <c r="T235" s="57" t="s">
        <v>1019</v>
      </c>
      <c r="U235" s="57" t="s">
        <v>1185</v>
      </c>
      <c r="V235" s="56" t="s">
        <v>1057</v>
      </c>
      <c r="W235" s="60">
        <v>17800000</v>
      </c>
      <c r="Y235" s="56" t="s">
        <v>1489</v>
      </c>
      <c r="Z235" s="56" t="s">
        <v>1490</v>
      </c>
      <c r="AA235" s="56" t="s">
        <v>1490</v>
      </c>
      <c r="AB235" s="56" t="s">
        <v>1490</v>
      </c>
      <c r="AC235" s="56" t="s">
        <v>1490</v>
      </c>
      <c r="AD235" s="56" t="s">
        <v>1490</v>
      </c>
      <c r="AE235" s="56" t="s">
        <v>1490</v>
      </c>
      <c r="AF235" s="56" t="s">
        <v>1490</v>
      </c>
      <c r="AG235" s="56" t="s">
        <v>1490</v>
      </c>
      <c r="AH235" s="56" t="s">
        <v>1490</v>
      </c>
      <c r="AI235" s="56" t="s">
        <v>1490</v>
      </c>
      <c r="AJ235" s="56" t="s">
        <v>1490</v>
      </c>
      <c r="AK235" s="56" t="s">
        <v>1490</v>
      </c>
    </row>
    <row r="236" spans="1:37" s="56" customFormat="1" ht="30" customHeight="1" x14ac:dyDescent="0.25">
      <c r="A236" s="56">
        <v>235</v>
      </c>
      <c r="B236" s="57" t="s">
        <v>265</v>
      </c>
      <c r="C236" s="57" t="s">
        <v>557</v>
      </c>
      <c r="D236" s="56" t="s">
        <v>619</v>
      </c>
      <c r="E236" s="56" t="s">
        <v>632</v>
      </c>
      <c r="G236" s="56" t="str">
        <f>VLOOKUP(Table1[[#This Row],[Project Code]],'[6]Combined Nov''25'!$E:$I,5,FALSE)</f>
        <v>Ongoing</v>
      </c>
      <c r="H236" s="59">
        <v>45363</v>
      </c>
      <c r="I236" s="59">
        <v>46092</v>
      </c>
      <c r="J236" s="59"/>
      <c r="K236" s="69" t="str">
        <f>VLOOKUP(Table1[[#This Row],[Project Code]],'[6]Combined Nov''25'!$E:$K,6,FALSE)</f>
        <v>NUPPL</v>
      </c>
      <c r="L236" s="69" t="s">
        <v>833</v>
      </c>
      <c r="M236" s="73" t="s">
        <v>847</v>
      </c>
      <c r="N236" s="73" t="s">
        <v>895</v>
      </c>
      <c r="O236" s="69" t="s">
        <v>861</v>
      </c>
      <c r="P236" s="73" t="s">
        <v>864</v>
      </c>
      <c r="Q236" s="57" t="s">
        <v>887</v>
      </c>
      <c r="T236" s="57" t="s">
        <v>1020</v>
      </c>
      <c r="U236" s="57" t="s">
        <v>1186</v>
      </c>
      <c r="V236" s="56" t="s">
        <v>1058</v>
      </c>
      <c r="W236" s="60">
        <v>10513800</v>
      </c>
      <c r="Y236" s="56" t="s">
        <v>1489</v>
      </c>
      <c r="Z236" s="56" t="s">
        <v>1490</v>
      </c>
      <c r="AA236" s="56" t="s">
        <v>1490</v>
      </c>
      <c r="AB236" s="56" t="s">
        <v>1490</v>
      </c>
      <c r="AC236" s="56" t="s">
        <v>1490</v>
      </c>
      <c r="AD236" s="56" t="s">
        <v>1490</v>
      </c>
      <c r="AE236" s="56" t="s">
        <v>1490</v>
      </c>
      <c r="AF236" s="56" t="s">
        <v>1490</v>
      </c>
      <c r="AG236" s="56" t="s">
        <v>1490</v>
      </c>
      <c r="AH236" s="56" t="s">
        <v>1490</v>
      </c>
      <c r="AI236" s="56" t="s">
        <v>1490</v>
      </c>
      <c r="AJ236" s="56" t="s">
        <v>1490</v>
      </c>
      <c r="AK236" s="56" t="s">
        <v>1490</v>
      </c>
    </row>
    <row r="237" spans="1:37" s="56" customFormat="1" ht="30" customHeight="1" x14ac:dyDescent="0.25">
      <c r="A237" s="56">
        <v>236</v>
      </c>
      <c r="B237" s="57" t="s">
        <v>266</v>
      </c>
      <c r="C237" s="57" t="s">
        <v>558</v>
      </c>
      <c r="D237" s="56" t="s">
        <v>621</v>
      </c>
      <c r="E237" s="56" t="s">
        <v>639</v>
      </c>
      <c r="G237" s="56" t="str">
        <f>VLOOKUP(Table1[[#This Row],[Project Code]],'[6]Combined Nov''25'!$E:$I,5,FALSE)</f>
        <v>Completed</v>
      </c>
      <c r="H237" s="59">
        <v>45363</v>
      </c>
      <c r="I237" s="59">
        <v>45485</v>
      </c>
      <c r="J237" s="59"/>
      <c r="K237" s="69" t="s">
        <v>733</v>
      </c>
      <c r="L237" s="69" t="s">
        <v>814</v>
      </c>
      <c r="M237" s="73" t="s">
        <v>844</v>
      </c>
      <c r="N237" s="73" t="s">
        <v>913</v>
      </c>
      <c r="O237" s="69" t="s">
        <v>858</v>
      </c>
      <c r="P237" s="73" t="s">
        <v>877</v>
      </c>
      <c r="Q237" s="57" t="s">
        <v>887</v>
      </c>
      <c r="T237" s="57" t="s">
        <v>968</v>
      </c>
      <c r="U237" s="57" t="s">
        <v>1187</v>
      </c>
      <c r="V237" s="56" t="s">
        <v>1057</v>
      </c>
      <c r="W237" s="60">
        <v>21632893</v>
      </c>
      <c r="Y237" s="56" t="s">
        <v>1489</v>
      </c>
      <c r="Z237" s="56" t="s">
        <v>1490</v>
      </c>
      <c r="AA237" s="56" t="s">
        <v>1490</v>
      </c>
      <c r="AB237" s="56" t="s">
        <v>1490</v>
      </c>
      <c r="AC237" s="56" t="s">
        <v>1490</v>
      </c>
      <c r="AD237" s="56" t="s">
        <v>1490</v>
      </c>
      <c r="AE237" s="56" t="s">
        <v>1490</v>
      </c>
      <c r="AF237" s="56" t="s">
        <v>1490</v>
      </c>
      <c r="AG237" s="56" t="s">
        <v>1490</v>
      </c>
      <c r="AH237" s="56" t="s">
        <v>1490</v>
      </c>
      <c r="AI237" s="56" t="s">
        <v>1490</v>
      </c>
      <c r="AJ237" s="56" t="s">
        <v>1490</v>
      </c>
      <c r="AK237" s="56" t="s">
        <v>1490</v>
      </c>
    </row>
    <row r="238" spans="1:37" s="56" customFormat="1" ht="30" customHeight="1" x14ac:dyDescent="0.25">
      <c r="A238" s="56">
        <v>237</v>
      </c>
      <c r="B238" s="57" t="s">
        <v>267</v>
      </c>
      <c r="C238" s="57" t="s">
        <v>559</v>
      </c>
      <c r="D238" s="56" t="s">
        <v>617</v>
      </c>
      <c r="E238" s="56" t="s">
        <v>626</v>
      </c>
      <c r="G238" s="56" t="str">
        <f>VLOOKUP(Table1[[#This Row],[Project Code]],'[6]Combined Nov''25'!$E:$I,5,FALSE)</f>
        <v>Fully Closed</v>
      </c>
      <c r="H238" s="59">
        <v>45366</v>
      </c>
      <c r="I238" s="59">
        <v>45427</v>
      </c>
      <c r="J238" s="59">
        <f>VLOOKUP(Table1[[#This Row],[Project Code]],'[6]Combined Nov''25'!$E:$O,10,FALSE)</f>
        <v>45449</v>
      </c>
      <c r="K238" s="69" t="str">
        <f>VLOOKUP(Table1[[#This Row],[Project Code]],'[6]Combined Nov''25'!$E:$K,6,FALSE)</f>
        <v>MoHUA</v>
      </c>
      <c r="L238" s="57" t="s">
        <v>696</v>
      </c>
      <c r="M238" s="56" t="s">
        <v>843</v>
      </c>
      <c r="N238" s="56" t="s">
        <v>927</v>
      </c>
      <c r="O238" s="57" t="s">
        <v>863</v>
      </c>
      <c r="P238" s="56" t="s">
        <v>864</v>
      </c>
      <c r="Q238" s="57" t="s">
        <v>886</v>
      </c>
      <c r="T238" s="57" t="s">
        <v>1021</v>
      </c>
      <c r="U238" s="57" t="s">
        <v>1188</v>
      </c>
      <c r="V238" s="56" t="s">
        <v>1057</v>
      </c>
      <c r="W238" s="60">
        <v>7766916</v>
      </c>
      <c r="Y238" s="56" t="s">
        <v>1489</v>
      </c>
      <c r="Z238" s="56" t="s">
        <v>1490</v>
      </c>
      <c r="AA238" s="56" t="s">
        <v>1490</v>
      </c>
      <c r="AB238" s="56" t="s">
        <v>1490</v>
      </c>
      <c r="AC238" s="56" t="s">
        <v>1490</v>
      </c>
      <c r="AD238" s="56" t="s">
        <v>1490</v>
      </c>
      <c r="AE238" s="56" t="s">
        <v>1490</v>
      </c>
      <c r="AF238" s="56" t="s">
        <v>1490</v>
      </c>
      <c r="AG238" s="56" t="s">
        <v>1490</v>
      </c>
      <c r="AH238" s="56" t="s">
        <v>1490</v>
      </c>
      <c r="AI238" s="56" t="s">
        <v>1490</v>
      </c>
      <c r="AJ238" s="56" t="s">
        <v>1490</v>
      </c>
      <c r="AK238" s="56" t="s">
        <v>1490</v>
      </c>
    </row>
    <row r="239" spans="1:37" s="56" customFormat="1" ht="30" customHeight="1" x14ac:dyDescent="0.25">
      <c r="A239" s="56">
        <v>238</v>
      </c>
      <c r="B239" s="57" t="s">
        <v>268</v>
      </c>
      <c r="C239" s="57" t="s">
        <v>560</v>
      </c>
      <c r="D239" s="56" t="s">
        <v>618</v>
      </c>
      <c r="E239" s="56" t="s">
        <v>641</v>
      </c>
      <c r="G239" s="56" t="str">
        <f>VLOOKUP(Table1[[#This Row],[Project Code]],'[6]Combined Nov''25'!$E:$I,5,FALSE)</f>
        <v>Ongoing</v>
      </c>
      <c r="H239" s="59">
        <v>45379</v>
      </c>
      <c r="I239" s="59">
        <v>46109</v>
      </c>
      <c r="J239" s="59"/>
      <c r="K239" s="69" t="s">
        <v>738</v>
      </c>
      <c r="L239" s="69" t="s">
        <v>767</v>
      </c>
      <c r="M239" s="73" t="s">
        <v>844</v>
      </c>
      <c r="N239" s="73" t="s">
        <v>911</v>
      </c>
      <c r="O239" s="69" t="s">
        <v>857</v>
      </c>
      <c r="P239" s="73" t="s">
        <v>865</v>
      </c>
      <c r="Q239" s="57" t="s">
        <v>887</v>
      </c>
      <c r="T239" s="57" t="s">
        <v>1022</v>
      </c>
      <c r="U239" s="57" t="s">
        <v>1189</v>
      </c>
      <c r="V239" s="56" t="s">
        <v>1058</v>
      </c>
      <c r="W239" s="60">
        <v>19500000</v>
      </c>
      <c r="X239" s="56" t="s">
        <v>1491</v>
      </c>
      <c r="Y239" s="56" t="s">
        <v>1489</v>
      </c>
      <c r="Z239" s="56" t="s">
        <v>1491</v>
      </c>
      <c r="AA239" s="56" t="s">
        <v>1489</v>
      </c>
      <c r="AB239" s="56" t="s">
        <v>1491</v>
      </c>
      <c r="AC239" s="56" t="s">
        <v>1491</v>
      </c>
      <c r="AD239" s="56" t="s">
        <v>1490</v>
      </c>
      <c r="AE239" s="56" t="s">
        <v>1490</v>
      </c>
      <c r="AF239" s="56" t="s">
        <v>1490</v>
      </c>
      <c r="AG239" s="56" t="s">
        <v>1490</v>
      </c>
      <c r="AH239" s="56" t="s">
        <v>1490</v>
      </c>
      <c r="AI239" s="56" t="s">
        <v>1490</v>
      </c>
      <c r="AJ239" s="56" t="s">
        <v>1490</v>
      </c>
      <c r="AK239" s="56" t="s">
        <v>1490</v>
      </c>
    </row>
    <row r="240" spans="1:37" s="56" customFormat="1" ht="30" customHeight="1" x14ac:dyDescent="0.25">
      <c r="A240" s="56">
        <v>239</v>
      </c>
      <c r="B240" s="57" t="s">
        <v>269</v>
      </c>
      <c r="C240" s="57" t="s">
        <v>561</v>
      </c>
      <c r="D240" s="56" t="s">
        <v>619</v>
      </c>
      <c r="E240" s="56" t="s">
        <v>632</v>
      </c>
      <c r="G240" s="56" t="str">
        <f>VLOOKUP(Table1[[#This Row],[Project Code]],'[6]Combined Nov''25'!$E:$I,5,FALSE)</f>
        <v>Ongoing</v>
      </c>
      <c r="H240" s="59">
        <v>45402</v>
      </c>
      <c r="I240" s="59">
        <v>45585</v>
      </c>
      <c r="J240" s="59">
        <f>VLOOKUP(Table1[[#This Row],[Project Code]],'[6]Combined Nov''25'!$E:$O,10,FALSE)</f>
        <v>46112</v>
      </c>
      <c r="K240" s="69" t="s">
        <v>739</v>
      </c>
      <c r="L240" s="69" t="s">
        <v>780</v>
      </c>
      <c r="M240" s="73" t="s">
        <v>844</v>
      </c>
      <c r="N240" s="73" t="s">
        <v>895</v>
      </c>
      <c r="O240" s="69" t="s">
        <v>861</v>
      </c>
      <c r="P240" s="73" t="s">
        <v>867</v>
      </c>
      <c r="Q240" s="57" t="s">
        <v>887</v>
      </c>
      <c r="T240" s="57" t="s">
        <v>1023</v>
      </c>
      <c r="U240" s="57" t="s">
        <v>1190</v>
      </c>
      <c r="V240" s="56" t="s">
        <v>1057</v>
      </c>
      <c r="W240" s="60">
        <v>24062400</v>
      </c>
      <c r="Y240" s="56" t="s">
        <v>1489</v>
      </c>
      <c r="Z240" s="56" t="s">
        <v>1490</v>
      </c>
      <c r="AA240" s="56" t="s">
        <v>1490</v>
      </c>
      <c r="AB240" s="56" t="s">
        <v>1490</v>
      </c>
      <c r="AC240" s="56" t="s">
        <v>1490</v>
      </c>
      <c r="AD240" s="56" t="s">
        <v>1490</v>
      </c>
      <c r="AE240" s="56" t="s">
        <v>1490</v>
      </c>
      <c r="AF240" s="56" t="s">
        <v>1490</v>
      </c>
      <c r="AG240" s="56" t="s">
        <v>1490</v>
      </c>
      <c r="AH240" s="56" t="s">
        <v>1490</v>
      </c>
      <c r="AI240" s="56" t="s">
        <v>1490</v>
      </c>
      <c r="AJ240" s="56" t="s">
        <v>1490</v>
      </c>
      <c r="AK240" s="56" t="s">
        <v>1490</v>
      </c>
    </row>
    <row r="241" spans="1:37" s="56" customFormat="1" ht="30" customHeight="1" x14ac:dyDescent="0.25">
      <c r="A241" s="56">
        <v>240</v>
      </c>
      <c r="B241" s="57" t="s">
        <v>270</v>
      </c>
      <c r="C241" s="57" t="s">
        <v>562</v>
      </c>
      <c r="D241" s="56" t="s">
        <v>615</v>
      </c>
      <c r="E241" s="56" t="s">
        <v>624</v>
      </c>
      <c r="G241" s="56" t="str">
        <f>VLOOKUP(Table1[[#This Row],[Project Code]],'[6]Combined Nov''25'!$E:$I,5,FALSE)</f>
        <v>Completed</v>
      </c>
      <c r="H241" s="59">
        <v>45363</v>
      </c>
      <c r="I241" s="59">
        <v>45728</v>
      </c>
      <c r="J241" s="59"/>
      <c r="K241" s="69" t="s">
        <v>740</v>
      </c>
      <c r="L241" s="69" t="s">
        <v>780</v>
      </c>
      <c r="M241" s="73" t="s">
        <v>844</v>
      </c>
      <c r="N241" s="73" t="s">
        <v>928</v>
      </c>
      <c r="O241" s="69" t="s">
        <v>859</v>
      </c>
      <c r="P241" s="73" t="s">
        <v>867</v>
      </c>
      <c r="Q241" s="57" t="s">
        <v>887</v>
      </c>
      <c r="T241" s="57" t="s">
        <v>1024</v>
      </c>
      <c r="U241" s="57" t="s">
        <v>1191</v>
      </c>
      <c r="V241" s="56">
        <v>0</v>
      </c>
      <c r="W241" s="60">
        <v>41500000</v>
      </c>
      <c r="Y241" s="56" t="s">
        <v>1489</v>
      </c>
      <c r="Z241" s="56" t="s">
        <v>1490</v>
      </c>
      <c r="AA241" s="56" t="s">
        <v>1490</v>
      </c>
      <c r="AB241" s="56" t="s">
        <v>1490</v>
      </c>
      <c r="AC241" s="56" t="s">
        <v>1490</v>
      </c>
      <c r="AD241" s="56" t="s">
        <v>1490</v>
      </c>
      <c r="AE241" s="56" t="s">
        <v>1490</v>
      </c>
      <c r="AF241" s="56" t="s">
        <v>1490</v>
      </c>
      <c r="AG241" s="56" t="s">
        <v>1490</v>
      </c>
      <c r="AH241" s="56" t="s">
        <v>1490</v>
      </c>
      <c r="AI241" s="56" t="s">
        <v>1490</v>
      </c>
      <c r="AJ241" s="56" t="s">
        <v>1490</v>
      </c>
      <c r="AK241" s="56" t="s">
        <v>1490</v>
      </c>
    </row>
    <row r="242" spans="1:37" s="56" customFormat="1" ht="30" customHeight="1" x14ac:dyDescent="0.25">
      <c r="A242" s="56">
        <v>241</v>
      </c>
      <c r="B242" s="57" t="s">
        <v>271</v>
      </c>
      <c r="C242" s="57" t="s">
        <v>563</v>
      </c>
      <c r="D242" s="56" t="s">
        <v>617</v>
      </c>
      <c r="E242" s="56" t="s">
        <v>638</v>
      </c>
      <c r="G242" s="56" t="str">
        <f>VLOOKUP(Table1[[#This Row],[Project Code]],'[6]Combined Nov''25'!$E:$I,5,FALSE)</f>
        <v>Ongoing</v>
      </c>
      <c r="H242" s="59">
        <v>45373</v>
      </c>
      <c r="I242" s="59">
        <v>45578</v>
      </c>
      <c r="J242" s="59">
        <f>VLOOKUP(Table1[[#This Row],[Project Code]],'[6]Combined Nov''25'!$E:$O,10,FALSE)</f>
        <v>45961</v>
      </c>
      <c r="K242" s="69" t="s">
        <v>741</v>
      </c>
      <c r="L242" s="69" t="s">
        <v>823</v>
      </c>
      <c r="M242" s="73" t="s">
        <v>847</v>
      </c>
      <c r="N242" s="73" t="s">
        <v>929</v>
      </c>
      <c r="O242" s="69" t="s">
        <v>860</v>
      </c>
      <c r="P242" s="73" t="s">
        <v>864</v>
      </c>
      <c r="Q242" s="57" t="s">
        <v>887</v>
      </c>
      <c r="T242" s="57" t="s">
        <v>1025</v>
      </c>
      <c r="U242" s="57" t="s">
        <v>1192</v>
      </c>
      <c r="V242" s="56" t="s">
        <v>1057</v>
      </c>
      <c r="W242" s="60">
        <v>4424000</v>
      </c>
      <c r="Y242" s="56" t="s">
        <v>1489</v>
      </c>
      <c r="Z242" s="56" t="s">
        <v>1490</v>
      </c>
      <c r="AA242" s="56" t="s">
        <v>1490</v>
      </c>
      <c r="AB242" s="56" t="s">
        <v>1490</v>
      </c>
      <c r="AC242" s="56" t="s">
        <v>1490</v>
      </c>
      <c r="AD242" s="56" t="s">
        <v>1490</v>
      </c>
      <c r="AE242" s="56" t="s">
        <v>1490</v>
      </c>
      <c r="AF242" s="56" t="s">
        <v>1490</v>
      </c>
      <c r="AG242" s="56" t="s">
        <v>1490</v>
      </c>
      <c r="AH242" s="56" t="s">
        <v>1490</v>
      </c>
      <c r="AI242" s="56" t="s">
        <v>1490</v>
      </c>
      <c r="AJ242" s="56" t="s">
        <v>1490</v>
      </c>
      <c r="AK242" s="56" t="s">
        <v>1490</v>
      </c>
    </row>
    <row r="243" spans="1:37" s="56" customFormat="1" ht="30" customHeight="1" x14ac:dyDescent="0.25">
      <c r="A243" s="56">
        <v>242</v>
      </c>
      <c r="B243" s="57" t="s">
        <v>272</v>
      </c>
      <c r="C243" s="57" t="s">
        <v>564</v>
      </c>
      <c r="D243" s="56" t="s">
        <v>618</v>
      </c>
      <c r="E243" s="56" t="s">
        <v>641</v>
      </c>
      <c r="G243" s="56" t="str">
        <f>VLOOKUP(Table1[[#This Row],[Project Code]],'[6]Combined Nov''25'!$E:$I,5,FALSE)</f>
        <v>Fully Closed</v>
      </c>
      <c r="H243" s="59">
        <v>45414</v>
      </c>
      <c r="I243" s="59">
        <v>45779</v>
      </c>
      <c r="J243" s="59"/>
      <c r="K243" s="57" t="s">
        <v>742</v>
      </c>
      <c r="L243" s="57" t="s">
        <v>767</v>
      </c>
      <c r="M243" s="56" t="s">
        <v>844</v>
      </c>
      <c r="N243" s="56" t="s">
        <v>911</v>
      </c>
      <c r="O243" s="57" t="s">
        <v>857</v>
      </c>
      <c r="P243" s="56" t="s">
        <v>865</v>
      </c>
      <c r="Q243" s="57" t="s">
        <v>887</v>
      </c>
      <c r="T243" s="57" t="s">
        <v>1026</v>
      </c>
      <c r="U243" s="57" t="s">
        <v>1193</v>
      </c>
      <c r="V243" s="56" t="s">
        <v>1057</v>
      </c>
      <c r="W243" s="60">
        <v>200000</v>
      </c>
      <c r="X243" s="56" t="s">
        <v>1491</v>
      </c>
      <c r="Y243" s="56" t="s">
        <v>1489</v>
      </c>
      <c r="Z243" s="56" t="s">
        <v>1490</v>
      </c>
      <c r="AA243" s="56" t="s">
        <v>1489</v>
      </c>
      <c r="AB243" s="56" t="s">
        <v>1491</v>
      </c>
      <c r="AC243" s="56" t="s">
        <v>1491</v>
      </c>
      <c r="AD243" s="56" t="s">
        <v>1490</v>
      </c>
      <c r="AE243" s="56" t="s">
        <v>1490</v>
      </c>
      <c r="AF243" s="56" t="s">
        <v>1490</v>
      </c>
      <c r="AG243" s="56" t="s">
        <v>1490</v>
      </c>
      <c r="AH243" s="56" t="s">
        <v>1490</v>
      </c>
      <c r="AI243" s="56" t="s">
        <v>1490</v>
      </c>
      <c r="AJ243" s="56" t="s">
        <v>1490</v>
      </c>
      <c r="AK243" s="56" t="s">
        <v>1490</v>
      </c>
    </row>
    <row r="244" spans="1:37" s="56" customFormat="1" ht="30" customHeight="1" x14ac:dyDescent="0.25">
      <c r="A244" s="56">
        <v>243</v>
      </c>
      <c r="B244" s="57" t="s">
        <v>273</v>
      </c>
      <c r="C244" s="57" t="s">
        <v>565</v>
      </c>
      <c r="D244" s="56" t="s">
        <v>619</v>
      </c>
      <c r="E244" s="56" t="s">
        <v>629</v>
      </c>
      <c r="G244" s="56" t="str">
        <f>VLOOKUP(Table1[[#This Row],[Project Code]],'[6]Combined Nov''25'!$E:$I,5,FALSE)</f>
        <v>Ongoing</v>
      </c>
      <c r="H244" s="59">
        <v>45407</v>
      </c>
      <c r="I244" s="59">
        <v>46531</v>
      </c>
      <c r="J244" s="59"/>
      <c r="K244" s="69" t="s">
        <v>743</v>
      </c>
      <c r="L244" s="69" t="s">
        <v>823</v>
      </c>
      <c r="M244" s="73" t="s">
        <v>847</v>
      </c>
      <c r="N244" s="73" t="s">
        <v>895</v>
      </c>
      <c r="O244" s="69" t="s">
        <v>861</v>
      </c>
      <c r="P244" s="73" t="s">
        <v>864</v>
      </c>
      <c r="Q244" s="57" t="s">
        <v>887</v>
      </c>
      <c r="T244" s="57" t="s">
        <v>1027</v>
      </c>
      <c r="U244" s="57" t="s">
        <v>1194</v>
      </c>
      <c r="V244" s="56" t="s">
        <v>1057</v>
      </c>
      <c r="W244" s="60">
        <v>37422000</v>
      </c>
      <c r="Y244" s="56" t="s">
        <v>1489</v>
      </c>
      <c r="Z244" s="56" t="s">
        <v>1490</v>
      </c>
      <c r="AA244" s="56" t="s">
        <v>1490</v>
      </c>
      <c r="AB244" s="56" t="s">
        <v>1490</v>
      </c>
      <c r="AC244" s="56" t="s">
        <v>1490</v>
      </c>
      <c r="AD244" s="56" t="s">
        <v>1490</v>
      </c>
      <c r="AE244" s="56" t="s">
        <v>1490</v>
      </c>
      <c r="AF244" s="56" t="s">
        <v>1490</v>
      </c>
      <c r="AG244" s="56" t="s">
        <v>1490</v>
      </c>
      <c r="AH244" s="56" t="s">
        <v>1490</v>
      </c>
      <c r="AI244" s="56" t="s">
        <v>1490</v>
      </c>
      <c r="AJ244" s="56" t="s">
        <v>1490</v>
      </c>
      <c r="AK244" s="56" t="s">
        <v>1490</v>
      </c>
    </row>
    <row r="245" spans="1:37" s="56" customFormat="1" ht="30" customHeight="1" x14ac:dyDescent="0.25">
      <c r="A245" s="56">
        <v>244</v>
      </c>
      <c r="B245" s="57" t="s">
        <v>274</v>
      </c>
      <c r="C245" s="57" t="s">
        <v>566</v>
      </c>
      <c r="D245" s="56" t="s">
        <v>619</v>
      </c>
      <c r="E245" s="56" t="s">
        <v>632</v>
      </c>
      <c r="G245" s="56" t="str">
        <f>VLOOKUP(Table1[[#This Row],[Project Code]],'[6]Combined Nov''25'!$E:$I,5,FALSE)</f>
        <v>Ongoing</v>
      </c>
      <c r="H245" s="59">
        <v>45383</v>
      </c>
      <c r="I245" s="59">
        <v>45808</v>
      </c>
      <c r="J245" s="59">
        <f>VLOOKUP(Table1[[#This Row],[Project Code]],'[6]Combined Nov''25'!$E:$O,10,FALSE)</f>
        <v>46112</v>
      </c>
      <c r="K245" s="69" t="s">
        <v>744</v>
      </c>
      <c r="L245" s="69" t="s">
        <v>744</v>
      </c>
      <c r="M245" s="73" t="s">
        <v>847</v>
      </c>
      <c r="N245" s="73" t="s">
        <v>895</v>
      </c>
      <c r="O245" s="69" t="s">
        <v>861</v>
      </c>
      <c r="P245" s="73" t="s">
        <v>871</v>
      </c>
      <c r="Q245" s="57" t="s">
        <v>887</v>
      </c>
      <c r="T245" s="57" t="s">
        <v>1028</v>
      </c>
      <c r="U245" s="57" t="s">
        <v>1195</v>
      </c>
      <c r="V245" s="56" t="s">
        <v>1057</v>
      </c>
      <c r="W245" s="60">
        <v>1780000</v>
      </c>
      <c r="Y245" s="56" t="s">
        <v>1489</v>
      </c>
      <c r="Z245" s="56" t="s">
        <v>1490</v>
      </c>
      <c r="AA245" s="56" t="s">
        <v>1490</v>
      </c>
      <c r="AB245" s="56" t="s">
        <v>1490</v>
      </c>
      <c r="AC245" s="56" t="s">
        <v>1490</v>
      </c>
      <c r="AD245" s="56" t="s">
        <v>1490</v>
      </c>
      <c r="AE245" s="56" t="s">
        <v>1490</v>
      </c>
      <c r="AF245" s="56" t="s">
        <v>1490</v>
      </c>
      <c r="AG245" s="56" t="s">
        <v>1490</v>
      </c>
      <c r="AH245" s="56" t="s">
        <v>1490</v>
      </c>
      <c r="AI245" s="56" t="s">
        <v>1490</v>
      </c>
      <c r="AJ245" s="56" t="s">
        <v>1490</v>
      </c>
      <c r="AK245" s="56" t="s">
        <v>1490</v>
      </c>
    </row>
    <row r="246" spans="1:37" s="56" customFormat="1" ht="30" customHeight="1" x14ac:dyDescent="0.25">
      <c r="A246" s="56">
        <v>245</v>
      </c>
      <c r="B246" s="57" t="s">
        <v>275</v>
      </c>
      <c r="C246" s="57" t="s">
        <v>567</v>
      </c>
      <c r="D246" s="56" t="s">
        <v>616</v>
      </c>
      <c r="E246" s="56" t="s">
        <v>628</v>
      </c>
      <c r="G246" s="56" t="str">
        <f>VLOOKUP(Table1[[#This Row],[Project Code]],'[6]Combined Nov''25'!$E:$I,5,FALSE)</f>
        <v>Completed</v>
      </c>
      <c r="H246" s="59">
        <v>45383</v>
      </c>
      <c r="I246" s="59">
        <v>45747</v>
      </c>
      <c r="J246" s="59"/>
      <c r="K246" s="69" t="str">
        <f>VLOOKUP(Table1[[#This Row],[Project Code]],'[6]Combined Nov''25'!$E:$K,6,FALSE)</f>
        <v>Ministry of Culture</v>
      </c>
      <c r="L246" s="69" t="s">
        <v>765</v>
      </c>
      <c r="M246" s="73" t="s">
        <v>843</v>
      </c>
      <c r="N246" s="73" t="s">
        <v>893</v>
      </c>
      <c r="O246" s="69" t="s">
        <v>862</v>
      </c>
      <c r="P246" s="73" t="s">
        <v>864</v>
      </c>
      <c r="Q246" s="57" t="s">
        <v>886</v>
      </c>
      <c r="T246" s="57" t="s">
        <v>1029</v>
      </c>
      <c r="U246" s="57" t="s">
        <v>1196</v>
      </c>
      <c r="V246" s="56" t="s">
        <v>1057</v>
      </c>
      <c r="W246" s="60">
        <v>81587584</v>
      </c>
      <c r="Y246" s="56" t="s">
        <v>1489</v>
      </c>
      <c r="Z246" s="56" t="s">
        <v>1490</v>
      </c>
      <c r="AA246" s="56" t="s">
        <v>1490</v>
      </c>
      <c r="AB246" s="56" t="s">
        <v>1490</v>
      </c>
      <c r="AC246" s="56" t="s">
        <v>1490</v>
      </c>
      <c r="AD246" s="56" t="s">
        <v>1490</v>
      </c>
      <c r="AE246" s="56" t="s">
        <v>1490</v>
      </c>
      <c r="AF246" s="56" t="s">
        <v>1490</v>
      </c>
      <c r="AG246" s="56" t="s">
        <v>1490</v>
      </c>
      <c r="AH246" s="56" t="s">
        <v>1490</v>
      </c>
      <c r="AI246" s="56" t="s">
        <v>1490</v>
      </c>
      <c r="AJ246" s="56" t="s">
        <v>1490</v>
      </c>
      <c r="AK246" s="56" t="s">
        <v>1490</v>
      </c>
    </row>
    <row r="247" spans="1:37" s="56" customFormat="1" ht="30" customHeight="1" x14ac:dyDescent="0.25">
      <c r="A247" s="56">
        <v>246</v>
      </c>
      <c r="B247" s="57" t="s">
        <v>276</v>
      </c>
      <c r="C247" s="57" t="s">
        <v>568</v>
      </c>
      <c r="D247" s="56" t="s">
        <v>616</v>
      </c>
      <c r="E247" s="56" t="s">
        <v>628</v>
      </c>
      <c r="G247" s="56" t="str">
        <f>VLOOKUP(Table1[[#This Row],[Project Code]],'[6]Combined Nov''25'!$E:$I,5,FALSE)</f>
        <v>Completed</v>
      </c>
      <c r="H247" s="59">
        <v>45383</v>
      </c>
      <c r="I247" s="59">
        <v>45747</v>
      </c>
      <c r="J247" s="59"/>
      <c r="K247" s="69" t="str">
        <f>VLOOKUP(Table1[[#This Row],[Project Code]],'[6]Combined Nov''25'!$E:$K,6,FALSE)</f>
        <v>Ministry of Culture</v>
      </c>
      <c r="L247" s="69" t="s">
        <v>765</v>
      </c>
      <c r="M247" s="73" t="s">
        <v>843</v>
      </c>
      <c r="N247" s="73" t="s">
        <v>893</v>
      </c>
      <c r="O247" s="69" t="s">
        <v>862</v>
      </c>
      <c r="P247" s="73" t="s">
        <v>864</v>
      </c>
      <c r="Q247" s="57" t="s">
        <v>886</v>
      </c>
      <c r="T247" s="57" t="s">
        <v>1030</v>
      </c>
      <c r="U247" s="57" t="s">
        <v>1197</v>
      </c>
      <c r="V247" s="56" t="s">
        <v>1057</v>
      </c>
      <c r="W247" s="60">
        <v>22713600</v>
      </c>
      <c r="Y247" s="56" t="s">
        <v>1489</v>
      </c>
      <c r="Z247" s="56" t="s">
        <v>1490</v>
      </c>
      <c r="AA247" s="56" t="s">
        <v>1490</v>
      </c>
      <c r="AB247" s="56" t="s">
        <v>1490</v>
      </c>
      <c r="AC247" s="56" t="s">
        <v>1490</v>
      </c>
      <c r="AD247" s="56" t="s">
        <v>1490</v>
      </c>
      <c r="AE247" s="56" t="s">
        <v>1490</v>
      </c>
      <c r="AF247" s="56" t="s">
        <v>1490</v>
      </c>
      <c r="AG247" s="56" t="s">
        <v>1490</v>
      </c>
      <c r="AH247" s="56" t="s">
        <v>1490</v>
      </c>
      <c r="AI247" s="56" t="s">
        <v>1490</v>
      </c>
      <c r="AJ247" s="56" t="s">
        <v>1490</v>
      </c>
      <c r="AK247" s="56" t="s">
        <v>1490</v>
      </c>
    </row>
    <row r="248" spans="1:37" s="56" customFormat="1" ht="30" customHeight="1" x14ac:dyDescent="0.25">
      <c r="A248" s="56">
        <v>247</v>
      </c>
      <c r="B248" s="57" t="s">
        <v>277</v>
      </c>
      <c r="C248" s="57" t="s">
        <v>569</v>
      </c>
      <c r="D248" s="56" t="s">
        <v>616</v>
      </c>
      <c r="E248" s="56" t="s">
        <v>628</v>
      </c>
      <c r="G248" s="56" t="str">
        <f>VLOOKUP(Table1[[#This Row],[Project Code]],'[6]Combined Nov''25'!$E:$I,5,FALSE)</f>
        <v>Fully Closed</v>
      </c>
      <c r="H248" s="59">
        <v>45352</v>
      </c>
      <c r="I248" s="59">
        <v>45442</v>
      </c>
      <c r="J248" s="59"/>
      <c r="K248" s="69" t="str">
        <f>VLOOKUP(Table1[[#This Row],[Project Code]],'[6]Combined Nov''25'!$E:$K,6,FALSE)</f>
        <v>Ministry of Culture</v>
      </c>
      <c r="L248" s="57" t="s">
        <v>765</v>
      </c>
      <c r="M248" s="56" t="s">
        <v>843</v>
      </c>
      <c r="N248" s="56" t="s">
        <v>893</v>
      </c>
      <c r="O248" s="57" t="s">
        <v>862</v>
      </c>
      <c r="P248" s="56" t="s">
        <v>864</v>
      </c>
      <c r="Q248" s="57" t="s">
        <v>886</v>
      </c>
      <c r="T248" s="57" t="s">
        <v>1031</v>
      </c>
      <c r="U248" s="57" t="s">
        <v>1198</v>
      </c>
      <c r="V248" s="56" t="s">
        <v>1057</v>
      </c>
      <c r="W248" s="60">
        <v>21134400</v>
      </c>
      <c r="Y248" s="56" t="s">
        <v>1489</v>
      </c>
      <c r="Z248" s="56" t="s">
        <v>1490</v>
      </c>
      <c r="AA248" s="56" t="s">
        <v>1490</v>
      </c>
      <c r="AB248" s="56" t="s">
        <v>1490</v>
      </c>
      <c r="AC248" s="56" t="s">
        <v>1490</v>
      </c>
      <c r="AD248" s="56" t="s">
        <v>1490</v>
      </c>
      <c r="AE248" s="56" t="s">
        <v>1490</v>
      </c>
      <c r="AF248" s="56" t="s">
        <v>1490</v>
      </c>
      <c r="AG248" s="56" t="s">
        <v>1490</v>
      </c>
      <c r="AH248" s="56" t="s">
        <v>1490</v>
      </c>
      <c r="AI248" s="56" t="s">
        <v>1490</v>
      </c>
      <c r="AJ248" s="56" t="s">
        <v>1490</v>
      </c>
      <c r="AK248" s="56" t="s">
        <v>1490</v>
      </c>
    </row>
    <row r="249" spans="1:37" s="56" customFormat="1" ht="30" customHeight="1" x14ac:dyDescent="0.25">
      <c r="A249" s="56">
        <v>248</v>
      </c>
      <c r="B249" s="57" t="s">
        <v>278</v>
      </c>
      <c r="C249" s="57" t="s">
        <v>570</v>
      </c>
      <c r="D249" s="56" t="s">
        <v>622</v>
      </c>
      <c r="E249" s="56" t="s">
        <v>645</v>
      </c>
      <c r="G249" s="56" t="str">
        <f>VLOOKUP(Table1[[#This Row],[Project Code]],'[6]Combined Nov''25'!$E:$I,5,FALSE)</f>
        <v>Completed</v>
      </c>
      <c r="H249" s="59">
        <v>45474</v>
      </c>
      <c r="I249" s="59">
        <v>45519</v>
      </c>
      <c r="J249" s="59">
        <f>VLOOKUP(Table1[[#This Row],[Project Code]],'[6]Combined Nov''25'!$E:$O,10,FALSE)</f>
        <v>45747</v>
      </c>
      <c r="K249" s="69" t="str">
        <f>VLOOKUP(Table1[[#This Row],[Project Code]],'[6]Combined Nov''25'!$E:$K,6,FALSE)</f>
        <v>Ministry of Agriculture &amp; Farmers Welfare (MoAFW)</v>
      </c>
      <c r="L249" s="69" t="s">
        <v>829</v>
      </c>
      <c r="M249" s="73" t="s">
        <v>843</v>
      </c>
      <c r="N249" s="73" t="s">
        <v>930</v>
      </c>
      <c r="O249" s="69" t="s">
        <v>860</v>
      </c>
      <c r="P249" s="73" t="s">
        <v>875</v>
      </c>
      <c r="Q249" s="57" t="s">
        <v>887</v>
      </c>
      <c r="T249" s="57" t="s">
        <v>1032</v>
      </c>
      <c r="U249" s="57" t="s">
        <v>1199</v>
      </c>
      <c r="V249" s="56" t="s">
        <v>1057</v>
      </c>
      <c r="W249" s="60">
        <v>343616</v>
      </c>
      <c r="Y249" s="56" t="s">
        <v>1489</v>
      </c>
      <c r="Z249" s="56" t="s">
        <v>1490</v>
      </c>
      <c r="AA249" s="56" t="s">
        <v>1490</v>
      </c>
      <c r="AB249" s="56" t="s">
        <v>1490</v>
      </c>
      <c r="AC249" s="56" t="s">
        <v>1490</v>
      </c>
      <c r="AD249" s="56" t="s">
        <v>1490</v>
      </c>
      <c r="AE249" s="56" t="s">
        <v>1490</v>
      </c>
      <c r="AF249" s="56" t="s">
        <v>1490</v>
      </c>
      <c r="AG249" s="56" t="s">
        <v>1490</v>
      </c>
      <c r="AH249" s="56" t="s">
        <v>1490</v>
      </c>
      <c r="AI249" s="56" t="s">
        <v>1490</v>
      </c>
      <c r="AJ249" s="56" t="s">
        <v>1490</v>
      </c>
      <c r="AK249" s="56" t="s">
        <v>1490</v>
      </c>
    </row>
    <row r="250" spans="1:37" s="56" customFormat="1" ht="30" customHeight="1" x14ac:dyDescent="0.25">
      <c r="A250" s="56">
        <v>249</v>
      </c>
      <c r="B250" s="57" t="s">
        <v>279</v>
      </c>
      <c r="C250" s="57" t="s">
        <v>571</v>
      </c>
      <c r="D250" s="56" t="s">
        <v>618</v>
      </c>
      <c r="E250" s="56" t="s">
        <v>643</v>
      </c>
      <c r="G250" s="56" t="str">
        <f>VLOOKUP(Table1[[#This Row],[Project Code]],'[6]Combined Nov''25'!$E:$I,5,FALSE)</f>
        <v>Fully Closed</v>
      </c>
      <c r="H250" s="59">
        <v>45471</v>
      </c>
      <c r="I250" s="59">
        <v>45534</v>
      </c>
      <c r="J250" s="59"/>
      <c r="K250" s="57" t="s">
        <v>745</v>
      </c>
      <c r="L250" s="57" t="s">
        <v>767</v>
      </c>
      <c r="M250" s="56" t="s">
        <v>844</v>
      </c>
      <c r="N250" s="56" t="s">
        <v>931</v>
      </c>
      <c r="O250" s="57" t="s">
        <v>857</v>
      </c>
      <c r="P250" s="56" t="s">
        <v>865</v>
      </c>
      <c r="Q250" s="57" t="s">
        <v>887</v>
      </c>
      <c r="T250" s="57" t="s">
        <v>1033</v>
      </c>
      <c r="U250" s="57" t="s">
        <v>1200</v>
      </c>
      <c r="V250" s="56" t="s">
        <v>1057</v>
      </c>
      <c r="W250" s="60">
        <v>277176</v>
      </c>
      <c r="Y250" s="56" t="s">
        <v>1489</v>
      </c>
      <c r="Z250" s="56" t="s">
        <v>1490</v>
      </c>
      <c r="AA250" s="56" t="s">
        <v>1490</v>
      </c>
      <c r="AB250" s="56" t="s">
        <v>1490</v>
      </c>
      <c r="AC250" s="56" t="s">
        <v>1490</v>
      </c>
      <c r="AD250" s="56" t="s">
        <v>1490</v>
      </c>
      <c r="AE250" s="56" t="s">
        <v>1490</v>
      </c>
      <c r="AF250" s="56" t="s">
        <v>1490</v>
      </c>
      <c r="AG250" s="56" t="s">
        <v>1490</v>
      </c>
      <c r="AH250" s="56" t="s">
        <v>1490</v>
      </c>
      <c r="AI250" s="56" t="s">
        <v>1490</v>
      </c>
      <c r="AJ250" s="56" t="s">
        <v>1490</v>
      </c>
      <c r="AK250" s="56" t="s">
        <v>1490</v>
      </c>
    </row>
    <row r="251" spans="1:37" s="56" customFormat="1" ht="30" customHeight="1" x14ac:dyDescent="0.25">
      <c r="A251" s="56">
        <v>250</v>
      </c>
      <c r="B251" s="57" t="s">
        <v>280</v>
      </c>
      <c r="C251" s="57" t="s">
        <v>572</v>
      </c>
      <c r="D251" s="56" t="s">
        <v>622</v>
      </c>
      <c r="E251" s="56" t="s">
        <v>645</v>
      </c>
      <c r="G251" s="56" t="str">
        <f>VLOOKUP(Table1[[#This Row],[Project Code]],'[6]Combined Nov''25'!$E:$I,5,FALSE)</f>
        <v>Completed</v>
      </c>
      <c r="H251" s="59">
        <v>45482</v>
      </c>
      <c r="I251" s="59">
        <v>45688</v>
      </c>
      <c r="J251" s="59">
        <f>VLOOKUP(Table1[[#This Row],[Project Code]],'[6]Combined Nov''25'!$E:$O,10,FALSE)</f>
        <v>45991</v>
      </c>
      <c r="K251" s="69" t="s">
        <v>746</v>
      </c>
      <c r="L251" s="69" t="s">
        <v>746</v>
      </c>
      <c r="M251" s="73" t="s">
        <v>843</v>
      </c>
      <c r="N251" s="73" t="s">
        <v>932</v>
      </c>
      <c r="O251" s="69" t="s">
        <v>860</v>
      </c>
      <c r="P251" s="73" t="s">
        <v>864</v>
      </c>
      <c r="Q251" s="57" t="s">
        <v>887</v>
      </c>
      <c r="T251" s="57" t="s">
        <v>1034</v>
      </c>
      <c r="U251" s="57" t="s">
        <v>1201</v>
      </c>
      <c r="V251" s="56" t="s">
        <v>1058</v>
      </c>
      <c r="W251" s="60">
        <v>2766400</v>
      </c>
      <c r="Y251" s="56" t="s">
        <v>1489</v>
      </c>
      <c r="Z251" s="56" t="s">
        <v>1490</v>
      </c>
      <c r="AA251" s="56" t="s">
        <v>1490</v>
      </c>
      <c r="AB251" s="56" t="s">
        <v>1490</v>
      </c>
      <c r="AC251" s="56" t="s">
        <v>1490</v>
      </c>
      <c r="AD251" s="56" t="s">
        <v>1490</v>
      </c>
      <c r="AE251" s="56" t="s">
        <v>1490</v>
      </c>
      <c r="AF251" s="56" t="s">
        <v>1490</v>
      </c>
      <c r="AG251" s="56" t="s">
        <v>1490</v>
      </c>
      <c r="AH251" s="56" t="s">
        <v>1490</v>
      </c>
      <c r="AI251" s="56" t="s">
        <v>1490</v>
      </c>
      <c r="AJ251" s="56" t="s">
        <v>1490</v>
      </c>
      <c r="AK251" s="56" t="s">
        <v>1490</v>
      </c>
    </row>
    <row r="252" spans="1:37" s="56" customFormat="1" ht="30" customHeight="1" x14ac:dyDescent="0.25">
      <c r="A252" s="56">
        <v>251</v>
      </c>
      <c r="B252" s="57" t="s">
        <v>281</v>
      </c>
      <c r="C252" s="57" t="s">
        <v>573</v>
      </c>
      <c r="D252" s="56" t="s">
        <v>619</v>
      </c>
      <c r="E252" s="56" t="s">
        <v>632</v>
      </c>
      <c r="G252" s="56" t="str">
        <f>VLOOKUP(Table1[[#This Row],[Project Code]],'[6]Combined Nov''25'!$E:$I,5,FALSE)</f>
        <v>Ongoing</v>
      </c>
      <c r="H252" s="59">
        <v>45488</v>
      </c>
      <c r="I252" s="59">
        <v>46531</v>
      </c>
      <c r="J252" s="59"/>
      <c r="K252" s="69" t="str">
        <f>VLOOKUP(Table1[[#This Row],[Project Code]],'[6]Combined Nov''25'!$E:$K,6,FALSE)</f>
        <v>NLC Talibira</v>
      </c>
      <c r="L252" s="69" t="s">
        <v>815</v>
      </c>
      <c r="M252" s="73" t="s">
        <v>843</v>
      </c>
      <c r="N252" s="73" t="s">
        <v>895</v>
      </c>
      <c r="O252" s="69" t="s">
        <v>861</v>
      </c>
      <c r="P252" s="73" t="s">
        <v>876</v>
      </c>
      <c r="Q252" s="57" t="s">
        <v>887</v>
      </c>
      <c r="T252" s="57">
        <f>VLOOKUP(Table1[[#This Row],[Project Code]],'[6]Combined Nov''25'!$E:$P,12,FALSE)</f>
        <v>0</v>
      </c>
      <c r="U252" s="57" t="s">
        <v>1202</v>
      </c>
      <c r="V252" s="56" t="s">
        <v>1057</v>
      </c>
      <c r="W252" s="60">
        <v>44500000</v>
      </c>
      <c r="Y252" s="56" t="s">
        <v>1489</v>
      </c>
      <c r="Z252" s="56" t="s">
        <v>1490</v>
      </c>
      <c r="AA252" s="56" t="s">
        <v>1490</v>
      </c>
      <c r="AB252" s="56" t="s">
        <v>1490</v>
      </c>
      <c r="AC252" s="56" t="s">
        <v>1490</v>
      </c>
      <c r="AD252" s="56" t="s">
        <v>1490</v>
      </c>
      <c r="AE252" s="56" t="s">
        <v>1490</v>
      </c>
      <c r="AF252" s="56" t="s">
        <v>1490</v>
      </c>
      <c r="AG252" s="56" t="s">
        <v>1490</v>
      </c>
      <c r="AH252" s="56" t="s">
        <v>1490</v>
      </c>
      <c r="AI252" s="56" t="s">
        <v>1490</v>
      </c>
      <c r="AJ252" s="56" t="s">
        <v>1490</v>
      </c>
      <c r="AK252" s="56" t="s">
        <v>1490</v>
      </c>
    </row>
    <row r="253" spans="1:37" s="56" customFormat="1" ht="30" customHeight="1" x14ac:dyDescent="0.25">
      <c r="A253" s="56">
        <v>252</v>
      </c>
      <c r="B253" s="57" t="s">
        <v>282</v>
      </c>
      <c r="C253" s="57" t="s">
        <v>574</v>
      </c>
      <c r="D253" s="56" t="s">
        <v>619</v>
      </c>
      <c r="E253" s="56" t="s">
        <v>632</v>
      </c>
      <c r="G253" s="56" t="str">
        <f>VLOOKUP(Table1[[#This Row],[Project Code]],'[6]Combined Nov''25'!$E:$I,5,FALSE)</f>
        <v>Ongoing</v>
      </c>
      <c r="H253" s="59">
        <v>45493</v>
      </c>
      <c r="I253" s="59">
        <v>46531</v>
      </c>
      <c r="J253" s="59"/>
      <c r="K253" s="69" t="s">
        <v>706</v>
      </c>
      <c r="L253" s="69" t="s">
        <v>823</v>
      </c>
      <c r="M253" s="73" t="s">
        <v>847</v>
      </c>
      <c r="N253" s="73" t="s">
        <v>895</v>
      </c>
      <c r="O253" s="69" t="s">
        <v>861</v>
      </c>
      <c r="P253" s="73" t="s">
        <v>871</v>
      </c>
      <c r="Q253" s="57" t="s">
        <v>887</v>
      </c>
      <c r="T253" s="57" t="s">
        <v>1035</v>
      </c>
      <c r="U253" s="57" t="s">
        <v>1203</v>
      </c>
      <c r="V253" s="56" t="s">
        <v>1057</v>
      </c>
      <c r="W253" s="60">
        <v>73500000</v>
      </c>
      <c r="Y253" s="56" t="s">
        <v>1489</v>
      </c>
      <c r="Z253" s="56" t="s">
        <v>1490</v>
      </c>
      <c r="AA253" s="56" t="s">
        <v>1490</v>
      </c>
      <c r="AB253" s="56" t="s">
        <v>1490</v>
      </c>
      <c r="AC253" s="56" t="s">
        <v>1490</v>
      </c>
      <c r="AD253" s="56" t="s">
        <v>1490</v>
      </c>
      <c r="AE253" s="56" t="s">
        <v>1490</v>
      </c>
      <c r="AF253" s="56" t="s">
        <v>1490</v>
      </c>
      <c r="AG253" s="56" t="s">
        <v>1490</v>
      </c>
      <c r="AH253" s="56" t="s">
        <v>1490</v>
      </c>
      <c r="AI253" s="56" t="s">
        <v>1490</v>
      </c>
      <c r="AJ253" s="56" t="s">
        <v>1490</v>
      </c>
      <c r="AK253" s="56" t="s">
        <v>1490</v>
      </c>
    </row>
    <row r="254" spans="1:37" s="56" customFormat="1" ht="30" customHeight="1" x14ac:dyDescent="0.25">
      <c r="A254" s="56">
        <v>253</v>
      </c>
      <c r="B254" s="57" t="s">
        <v>283</v>
      </c>
      <c r="C254" s="57" t="s">
        <v>575</v>
      </c>
      <c r="D254" s="56" t="s">
        <v>615</v>
      </c>
      <c r="E254" s="56" t="s">
        <v>657</v>
      </c>
      <c r="G254" s="56" t="str">
        <f>VLOOKUP(Table1[[#This Row],[Project Code]],'[6]Combined Nov''25'!$E:$I,5,FALSE)</f>
        <v>Completed</v>
      </c>
      <c r="H254" s="59">
        <v>45497</v>
      </c>
      <c r="I254" s="59">
        <v>45559</v>
      </c>
      <c r="J254" s="59">
        <f>VLOOKUP(Table1[[#This Row],[Project Code]],'[6]Combined Nov''25'!$E:$O,10,FALSE)</f>
        <v>45688</v>
      </c>
      <c r="K254" s="69" t="str">
        <f>VLOOKUP(Table1[[#This Row],[Project Code]],'[6]Combined Nov''25'!$E:$K,6,FALSE)</f>
        <v>Government of Maharashtra</v>
      </c>
      <c r="L254" s="69" t="s">
        <v>768</v>
      </c>
      <c r="M254" s="73" t="s">
        <v>844</v>
      </c>
      <c r="N254" s="73" t="s">
        <v>933</v>
      </c>
      <c r="O254" s="69" t="s">
        <v>858</v>
      </c>
      <c r="P254" s="73" t="s">
        <v>866</v>
      </c>
      <c r="Q254" s="57" t="s">
        <v>886</v>
      </c>
      <c r="T254" s="57" t="s">
        <v>1036</v>
      </c>
      <c r="U254" s="57" t="s">
        <v>1204</v>
      </c>
      <c r="V254" s="56">
        <v>0</v>
      </c>
      <c r="W254" s="60">
        <v>1702400</v>
      </c>
      <c r="Y254" s="56" t="s">
        <v>1489</v>
      </c>
      <c r="Z254" s="56" t="s">
        <v>1490</v>
      </c>
      <c r="AA254" s="56" t="s">
        <v>1490</v>
      </c>
      <c r="AB254" s="56" t="s">
        <v>1490</v>
      </c>
      <c r="AC254" s="56" t="s">
        <v>1490</v>
      </c>
      <c r="AD254" s="56" t="s">
        <v>1490</v>
      </c>
      <c r="AE254" s="56" t="s">
        <v>1490</v>
      </c>
      <c r="AF254" s="56" t="s">
        <v>1490</v>
      </c>
      <c r="AG254" s="56" t="s">
        <v>1490</v>
      </c>
      <c r="AH254" s="56" t="s">
        <v>1490</v>
      </c>
      <c r="AI254" s="56" t="s">
        <v>1490</v>
      </c>
      <c r="AJ254" s="56" t="s">
        <v>1490</v>
      </c>
      <c r="AK254" s="56" t="s">
        <v>1490</v>
      </c>
    </row>
    <row r="255" spans="1:37" s="56" customFormat="1" ht="30" customHeight="1" x14ac:dyDescent="0.25">
      <c r="A255" s="56">
        <v>254</v>
      </c>
      <c r="B255" s="57" t="s">
        <v>284</v>
      </c>
      <c r="C255" s="57" t="s">
        <v>576</v>
      </c>
      <c r="D255" s="56" t="s">
        <v>615</v>
      </c>
      <c r="E255" s="56" t="s">
        <v>624</v>
      </c>
      <c r="G255" s="56" t="str">
        <f>VLOOKUP(Table1[[#This Row],[Project Code]],'[6]Combined Nov''25'!$E:$I,5,FALSE)</f>
        <v>Completed</v>
      </c>
      <c r="H255" s="59">
        <v>45513</v>
      </c>
      <c r="I255" s="59">
        <v>45878</v>
      </c>
      <c r="J255" s="59">
        <f>VLOOKUP(Table1[[#This Row],[Project Code]],'[6]Combined Nov''25'!$E:$O,10,FALSE)</f>
        <v>45930</v>
      </c>
      <c r="K255" s="69" t="s">
        <v>747</v>
      </c>
      <c r="L255" s="69" t="s">
        <v>780</v>
      </c>
      <c r="M255" s="73" t="s">
        <v>844</v>
      </c>
      <c r="N255" s="73" t="s">
        <v>915</v>
      </c>
      <c r="O255" s="69" t="s">
        <v>859</v>
      </c>
      <c r="P255" s="73" t="s">
        <v>867</v>
      </c>
      <c r="Q255" s="57" t="s">
        <v>887</v>
      </c>
      <c r="T255" s="57" t="s">
        <v>1083</v>
      </c>
      <c r="U255" s="57" t="s">
        <v>1205</v>
      </c>
      <c r="V255" s="56">
        <v>0</v>
      </c>
      <c r="W255" s="60">
        <v>24576271.18</v>
      </c>
      <c r="Y255" s="56" t="s">
        <v>1489</v>
      </c>
      <c r="Z255" s="56" t="s">
        <v>1490</v>
      </c>
      <c r="AA255" s="56" t="s">
        <v>1490</v>
      </c>
      <c r="AB255" s="56" t="s">
        <v>1490</v>
      </c>
      <c r="AC255" s="56" t="s">
        <v>1490</v>
      </c>
      <c r="AD255" s="56" t="s">
        <v>1490</v>
      </c>
      <c r="AE255" s="56" t="s">
        <v>1490</v>
      </c>
      <c r="AF255" s="56" t="s">
        <v>1490</v>
      </c>
      <c r="AG255" s="56" t="s">
        <v>1490</v>
      </c>
      <c r="AH255" s="56" t="s">
        <v>1490</v>
      </c>
      <c r="AI255" s="56" t="s">
        <v>1490</v>
      </c>
      <c r="AJ255" s="56" t="s">
        <v>1490</v>
      </c>
      <c r="AK255" s="56" t="s">
        <v>1490</v>
      </c>
    </row>
    <row r="256" spans="1:37" s="56" customFormat="1" ht="30" customHeight="1" x14ac:dyDescent="0.25">
      <c r="A256" s="56">
        <v>255</v>
      </c>
      <c r="B256" s="57" t="s">
        <v>285</v>
      </c>
      <c r="C256" s="57" t="s">
        <v>577</v>
      </c>
      <c r="D256" s="56" t="s">
        <v>615</v>
      </c>
      <c r="E256" s="56" t="s">
        <v>624</v>
      </c>
      <c r="G256" s="56" t="str">
        <f>VLOOKUP(Table1[[#This Row],[Project Code]],'[6]Combined Nov''25'!$E:$I,5,FALSE)</f>
        <v>Ongoing</v>
      </c>
      <c r="H256" s="59">
        <v>45533</v>
      </c>
      <c r="I256" s="59">
        <v>45747</v>
      </c>
      <c r="J256" s="59">
        <f>VLOOKUP(Table1[[#This Row],[Project Code]],'[6]Combined Nov''25'!$E:$O,10,FALSE)</f>
        <v>46022</v>
      </c>
      <c r="K256" s="69" t="s">
        <v>748</v>
      </c>
      <c r="L256" s="69" t="s">
        <v>696</v>
      </c>
      <c r="M256" s="73" t="s">
        <v>843</v>
      </c>
      <c r="N256" s="73" t="s">
        <v>915</v>
      </c>
      <c r="O256" s="69" t="s">
        <v>859</v>
      </c>
      <c r="P256" s="73" t="s">
        <v>864</v>
      </c>
      <c r="Q256" s="57" t="s">
        <v>887</v>
      </c>
      <c r="T256" s="57" t="s">
        <v>1084</v>
      </c>
      <c r="U256" s="57" t="s">
        <v>1206</v>
      </c>
      <c r="V256" s="56">
        <v>0</v>
      </c>
      <c r="W256" s="60">
        <v>104863240</v>
      </c>
      <c r="Y256" s="56" t="s">
        <v>1489</v>
      </c>
      <c r="Z256" s="56" t="s">
        <v>1490</v>
      </c>
      <c r="AA256" s="56" t="s">
        <v>1490</v>
      </c>
      <c r="AB256" s="56" t="s">
        <v>1490</v>
      </c>
      <c r="AC256" s="56" t="s">
        <v>1490</v>
      </c>
      <c r="AD256" s="56" t="s">
        <v>1490</v>
      </c>
      <c r="AE256" s="56" t="s">
        <v>1490</v>
      </c>
      <c r="AF256" s="56" t="s">
        <v>1490</v>
      </c>
      <c r="AG256" s="56" t="s">
        <v>1490</v>
      </c>
      <c r="AH256" s="56" t="s">
        <v>1490</v>
      </c>
      <c r="AI256" s="56" t="s">
        <v>1490</v>
      </c>
      <c r="AJ256" s="56" t="s">
        <v>1490</v>
      </c>
      <c r="AK256" s="56" t="s">
        <v>1490</v>
      </c>
    </row>
    <row r="257" spans="1:37" s="56" customFormat="1" ht="30" customHeight="1" x14ac:dyDescent="0.25">
      <c r="A257" s="56">
        <v>256</v>
      </c>
      <c r="B257" s="57" t="s">
        <v>286</v>
      </c>
      <c r="C257" s="57" t="s">
        <v>578</v>
      </c>
      <c r="D257" s="56" t="s">
        <v>620</v>
      </c>
      <c r="E257" s="56" t="s">
        <v>658</v>
      </c>
      <c r="G257" s="56" t="str">
        <f>VLOOKUP(Table1[[#This Row],[Project Code]],'[6]Combined Nov''25'!$E:$I,5,FALSE)</f>
        <v>Fully Closed</v>
      </c>
      <c r="H257" s="59"/>
      <c r="I257" s="59"/>
      <c r="J257" s="59"/>
      <c r="K257" s="57" t="s">
        <v>749</v>
      </c>
      <c r="L257" s="57" t="s">
        <v>789</v>
      </c>
      <c r="M257" s="56" t="s">
        <v>843</v>
      </c>
      <c r="N257" s="73">
        <f>VLOOKUP(Table1[[#This Row],[Project Code]],'[6]Combined Nov''25'!$E:$K,7,FALSE)</f>
        <v>0</v>
      </c>
      <c r="O257" s="57" t="s">
        <v>863</v>
      </c>
      <c r="P257" s="56" t="s">
        <v>864</v>
      </c>
      <c r="Q257" s="57" t="s">
        <v>855</v>
      </c>
      <c r="T257" s="57">
        <f>VLOOKUP(Table1[[#This Row],[Project Code]],'[6]Combined Nov''25'!$E:$P,12,FALSE)</f>
        <v>0</v>
      </c>
      <c r="U257" s="57">
        <v>0</v>
      </c>
      <c r="V257" s="56" t="s">
        <v>1057</v>
      </c>
      <c r="W257" s="60" t="e">
        <v>#N/A</v>
      </c>
      <c r="X257" s="56" t="s">
        <v>1489</v>
      </c>
      <c r="Y257" s="56" t="s">
        <v>1489</v>
      </c>
      <c r="Z257" s="56" t="s">
        <v>1490</v>
      </c>
      <c r="AA257" s="56" t="s">
        <v>1490</v>
      </c>
      <c r="AB257" s="56" t="s">
        <v>1490</v>
      </c>
      <c r="AC257" s="56" t="s">
        <v>1490</v>
      </c>
      <c r="AD257" s="56" t="s">
        <v>1490</v>
      </c>
      <c r="AE257" s="56" t="s">
        <v>1490</v>
      </c>
      <c r="AF257" s="56" t="s">
        <v>1490</v>
      </c>
      <c r="AG257" s="56" t="s">
        <v>1490</v>
      </c>
      <c r="AH257" s="56" t="s">
        <v>1490</v>
      </c>
      <c r="AI257" s="56" t="s">
        <v>1490</v>
      </c>
      <c r="AJ257" s="56" t="s">
        <v>1490</v>
      </c>
      <c r="AK257" s="56" t="s">
        <v>1490</v>
      </c>
    </row>
    <row r="258" spans="1:37" s="56" customFormat="1" ht="30" customHeight="1" x14ac:dyDescent="0.25">
      <c r="A258" s="56">
        <v>257</v>
      </c>
      <c r="B258" s="57" t="s">
        <v>287</v>
      </c>
      <c r="C258" s="57" t="s">
        <v>579</v>
      </c>
      <c r="D258" s="56" t="s">
        <v>618</v>
      </c>
      <c r="E258" s="56" t="s">
        <v>643</v>
      </c>
      <c r="G258" s="56" t="str">
        <f>VLOOKUP(Table1[[#This Row],[Project Code]],'[6]Combined Nov''25'!$E:$I,5,FALSE)</f>
        <v>Ongoing</v>
      </c>
      <c r="H258" s="59">
        <v>45539</v>
      </c>
      <c r="I258" s="59">
        <v>45568</v>
      </c>
      <c r="J258" s="59" t="str">
        <f>VLOOKUP(Table1[[#This Row],[Project Code]],'[6]Combined Nov''25'!$E:$O,10,FALSE)</f>
        <v>-</v>
      </c>
      <c r="K258" s="69" t="s">
        <v>750</v>
      </c>
      <c r="L258" s="69" t="s">
        <v>767</v>
      </c>
      <c r="M258" s="73" t="s">
        <v>844</v>
      </c>
      <c r="N258" s="73" t="s">
        <v>911</v>
      </c>
      <c r="O258" s="69" t="s">
        <v>857</v>
      </c>
      <c r="P258" s="73" t="s">
        <v>865</v>
      </c>
      <c r="Q258" s="57" t="s">
        <v>887</v>
      </c>
      <c r="T258" s="57" t="s">
        <v>1037</v>
      </c>
      <c r="U258" s="57" t="s">
        <v>1207</v>
      </c>
      <c r="V258" s="56" t="s">
        <v>1057</v>
      </c>
      <c r="W258" s="60">
        <v>7334179.2854159977</v>
      </c>
      <c r="Y258" s="56" t="s">
        <v>1489</v>
      </c>
      <c r="Z258" s="56" t="s">
        <v>1490</v>
      </c>
      <c r="AA258" s="56" t="s">
        <v>1490</v>
      </c>
      <c r="AB258" s="56" t="s">
        <v>1490</v>
      </c>
      <c r="AC258" s="56" t="s">
        <v>1490</v>
      </c>
      <c r="AD258" s="56" t="s">
        <v>1490</v>
      </c>
      <c r="AE258" s="56" t="s">
        <v>1490</v>
      </c>
      <c r="AF258" s="56" t="s">
        <v>1490</v>
      </c>
      <c r="AG258" s="56" t="s">
        <v>1490</v>
      </c>
      <c r="AH258" s="56" t="s">
        <v>1490</v>
      </c>
      <c r="AI258" s="56" t="s">
        <v>1490</v>
      </c>
      <c r="AJ258" s="56" t="s">
        <v>1490</v>
      </c>
      <c r="AK258" s="56" t="s">
        <v>1490</v>
      </c>
    </row>
    <row r="259" spans="1:37" s="56" customFormat="1" ht="30" customHeight="1" x14ac:dyDescent="0.25">
      <c r="A259" s="56">
        <v>258</v>
      </c>
      <c r="B259" s="57" t="s">
        <v>288</v>
      </c>
      <c r="C259" s="57" t="s">
        <v>580</v>
      </c>
      <c r="D259" s="56" t="s">
        <v>621</v>
      </c>
      <c r="E259" s="56" t="s">
        <v>659</v>
      </c>
      <c r="G259" s="56" t="str">
        <f>VLOOKUP(Table1[[#This Row],[Project Code]],'[6]Combined Nov''25'!$E:$I,5,FALSE)</f>
        <v>Completed</v>
      </c>
      <c r="H259" s="59">
        <v>45541</v>
      </c>
      <c r="I259" s="59">
        <v>45630</v>
      </c>
      <c r="J259" s="59">
        <f>VLOOKUP(Table1[[#This Row],[Project Code]],'[6]Combined Nov''25'!$E:$O,10,FALSE)</f>
        <v>45659</v>
      </c>
      <c r="K259" s="69" t="s">
        <v>751</v>
      </c>
      <c r="L259" s="69" t="s">
        <v>834</v>
      </c>
      <c r="M259" s="73" t="s">
        <v>843</v>
      </c>
      <c r="N259" s="73" t="s">
        <v>934</v>
      </c>
      <c r="O259" s="69" t="s">
        <v>863</v>
      </c>
      <c r="P259" s="73" t="s">
        <v>864</v>
      </c>
      <c r="Q259" s="57" t="s">
        <v>887</v>
      </c>
      <c r="T259" s="57" t="s">
        <v>1038</v>
      </c>
      <c r="U259" s="57" t="s">
        <v>1208</v>
      </c>
      <c r="V259" s="56" t="s">
        <v>1057</v>
      </c>
      <c r="W259" s="60">
        <v>5959781</v>
      </c>
      <c r="Y259" s="56" t="s">
        <v>1489</v>
      </c>
      <c r="Z259" s="56" t="s">
        <v>1490</v>
      </c>
      <c r="AA259" s="56" t="s">
        <v>1490</v>
      </c>
      <c r="AB259" s="56" t="s">
        <v>1490</v>
      </c>
      <c r="AC259" s="56" t="s">
        <v>1490</v>
      </c>
      <c r="AD259" s="56" t="s">
        <v>1490</v>
      </c>
      <c r="AE259" s="56" t="s">
        <v>1490</v>
      </c>
      <c r="AF259" s="56" t="s">
        <v>1490</v>
      </c>
      <c r="AG259" s="56" t="s">
        <v>1490</v>
      </c>
      <c r="AH259" s="56" t="s">
        <v>1490</v>
      </c>
      <c r="AI259" s="56" t="s">
        <v>1490</v>
      </c>
      <c r="AJ259" s="56" t="s">
        <v>1490</v>
      </c>
      <c r="AK259" s="56" t="s">
        <v>1490</v>
      </c>
    </row>
    <row r="260" spans="1:37" s="56" customFormat="1" ht="30" customHeight="1" x14ac:dyDescent="0.25">
      <c r="A260" s="56">
        <v>259</v>
      </c>
      <c r="B260" s="57" t="s">
        <v>289</v>
      </c>
      <c r="C260" s="57" t="s">
        <v>581</v>
      </c>
      <c r="D260" s="56" t="s">
        <v>620</v>
      </c>
      <c r="E260" s="56" t="s">
        <v>634</v>
      </c>
      <c r="G260" s="56" t="str">
        <f>VLOOKUP(Table1[[#This Row],[Project Code]],'[6]Combined Nov''25'!$E:$I,5,FALSE)</f>
        <v>Ongoing</v>
      </c>
      <c r="H260" s="59">
        <v>45552</v>
      </c>
      <c r="I260" s="59">
        <v>45916</v>
      </c>
      <c r="J260" s="59">
        <f>VLOOKUP(Table1[[#This Row],[Project Code]],'[6]Combined Nov''25'!$E:$O,10,FALSE)</f>
        <v>46081</v>
      </c>
      <c r="K260" s="69" t="s">
        <v>752</v>
      </c>
      <c r="L260" s="69" t="s">
        <v>581</v>
      </c>
      <c r="M260" s="73" t="s">
        <v>843</v>
      </c>
      <c r="N260" s="73">
        <f>VLOOKUP(Table1[[#This Row],[Project Code]],'[6]Combined Nov''25'!$E:$K,7,FALSE)</f>
        <v>0</v>
      </c>
      <c r="O260" s="69" t="s">
        <v>863</v>
      </c>
      <c r="P260" s="73" t="s">
        <v>864</v>
      </c>
      <c r="Q260" s="57" t="s">
        <v>886</v>
      </c>
      <c r="T260" s="57">
        <f>VLOOKUP(Table1[[#This Row],[Project Code]],'[6]Combined Nov''25'!$E:$P,12,FALSE)</f>
        <v>0</v>
      </c>
      <c r="U260" s="57" t="s">
        <v>1209</v>
      </c>
      <c r="V260" s="56" t="s">
        <v>1057</v>
      </c>
      <c r="W260" s="60">
        <v>36576960</v>
      </c>
      <c r="Y260" s="56" t="s">
        <v>1489</v>
      </c>
      <c r="Z260" s="56" t="s">
        <v>1490</v>
      </c>
      <c r="AA260" s="56" t="s">
        <v>1490</v>
      </c>
      <c r="AB260" s="56" t="s">
        <v>1490</v>
      </c>
      <c r="AC260" s="56" t="s">
        <v>1490</v>
      </c>
      <c r="AD260" s="56" t="s">
        <v>1490</v>
      </c>
      <c r="AE260" s="56" t="s">
        <v>1490</v>
      </c>
      <c r="AF260" s="56" t="s">
        <v>1490</v>
      </c>
      <c r="AG260" s="56" t="s">
        <v>1490</v>
      </c>
      <c r="AH260" s="56" t="s">
        <v>1490</v>
      </c>
      <c r="AI260" s="56" t="s">
        <v>1490</v>
      </c>
      <c r="AJ260" s="56" t="s">
        <v>1490</v>
      </c>
      <c r="AK260" s="56" t="s">
        <v>1490</v>
      </c>
    </row>
    <row r="261" spans="1:37" s="56" customFormat="1" ht="30" customHeight="1" x14ac:dyDescent="0.25">
      <c r="A261" s="56">
        <v>260</v>
      </c>
      <c r="B261" s="57" t="s">
        <v>290</v>
      </c>
      <c r="C261" s="57" t="s">
        <v>582</v>
      </c>
      <c r="D261" s="56" t="s">
        <v>619</v>
      </c>
      <c r="E261" s="56" t="s">
        <v>632</v>
      </c>
      <c r="G261" s="56" t="str">
        <f>VLOOKUP(Table1[[#This Row],[Project Code]],'[6]Combined Nov''25'!$E:$I,5,FALSE)</f>
        <v>Ongoing</v>
      </c>
      <c r="H261" s="59">
        <v>45586</v>
      </c>
      <c r="I261" s="59">
        <v>45950</v>
      </c>
      <c r="J261" s="59">
        <f>VLOOKUP(Table1[[#This Row],[Project Code]],'[6]Combined Nov''25'!$E:$O,10,FALSE)</f>
        <v>46112</v>
      </c>
      <c r="K261" s="69" t="s">
        <v>753</v>
      </c>
      <c r="L261" s="69" t="s">
        <v>835</v>
      </c>
      <c r="M261" s="73" t="s">
        <v>844</v>
      </c>
      <c r="N261" s="73" t="s">
        <v>895</v>
      </c>
      <c r="O261" s="69" t="s">
        <v>861</v>
      </c>
      <c r="P261" s="73" t="s">
        <v>884</v>
      </c>
      <c r="Q261" s="57" t="s">
        <v>887</v>
      </c>
      <c r="T261" s="57" t="s">
        <v>1039</v>
      </c>
      <c r="U261" s="57" t="s">
        <v>1210</v>
      </c>
      <c r="V261" s="56" t="s">
        <v>1058</v>
      </c>
      <c r="W261" s="60">
        <v>9828000</v>
      </c>
      <c r="Y261" s="56" t="s">
        <v>1489</v>
      </c>
      <c r="Z261" s="56" t="s">
        <v>1490</v>
      </c>
      <c r="AA261" s="56" t="s">
        <v>1490</v>
      </c>
      <c r="AB261" s="56" t="s">
        <v>1490</v>
      </c>
      <c r="AC261" s="56" t="s">
        <v>1490</v>
      </c>
      <c r="AD261" s="56" t="s">
        <v>1490</v>
      </c>
      <c r="AE261" s="56" t="s">
        <v>1490</v>
      </c>
      <c r="AF261" s="56" t="s">
        <v>1490</v>
      </c>
      <c r="AG261" s="56" t="s">
        <v>1490</v>
      </c>
      <c r="AH261" s="56" t="s">
        <v>1490</v>
      </c>
      <c r="AI261" s="56" t="s">
        <v>1490</v>
      </c>
      <c r="AJ261" s="56" t="s">
        <v>1490</v>
      </c>
      <c r="AK261" s="56" t="s">
        <v>1490</v>
      </c>
    </row>
    <row r="262" spans="1:37" s="56" customFormat="1" ht="30" customHeight="1" x14ac:dyDescent="0.25">
      <c r="A262" s="56">
        <v>261</v>
      </c>
      <c r="B262" s="57" t="s">
        <v>291</v>
      </c>
      <c r="C262" s="57" t="s">
        <v>583</v>
      </c>
      <c r="D262" s="56" t="s">
        <v>616</v>
      </c>
      <c r="E262" s="56" t="s">
        <v>625</v>
      </c>
      <c r="G262" s="56" t="str">
        <f>VLOOKUP(Table1[[#This Row],[Project Code]],'[6]Combined Nov''25'!$E:$I,5,FALSE)</f>
        <v>Fully Closed</v>
      </c>
      <c r="H262" s="59">
        <v>45589</v>
      </c>
      <c r="I262" s="59">
        <v>45665</v>
      </c>
      <c r="J262" s="59"/>
      <c r="K262" s="57" t="s">
        <v>675</v>
      </c>
      <c r="L262" s="57" t="s">
        <v>780</v>
      </c>
      <c r="M262" s="56" t="s">
        <v>844</v>
      </c>
      <c r="N262" s="56" t="s">
        <v>894</v>
      </c>
      <c r="O262" s="57" t="s">
        <v>862</v>
      </c>
      <c r="P262" s="56" t="s">
        <v>867</v>
      </c>
      <c r="Q262" s="57" t="s">
        <v>886</v>
      </c>
      <c r="T262" s="57" t="s">
        <v>1040</v>
      </c>
      <c r="U262" s="57" t="s">
        <v>1211</v>
      </c>
      <c r="V262" s="56" t="s">
        <v>1057</v>
      </c>
      <c r="W262" s="60">
        <v>4936680</v>
      </c>
      <c r="Y262" s="56" t="s">
        <v>1489</v>
      </c>
      <c r="Z262" s="56" t="s">
        <v>1490</v>
      </c>
      <c r="AA262" s="56" t="s">
        <v>1490</v>
      </c>
      <c r="AB262" s="56" t="s">
        <v>1490</v>
      </c>
      <c r="AC262" s="56" t="s">
        <v>1490</v>
      </c>
      <c r="AD262" s="56" t="s">
        <v>1490</v>
      </c>
      <c r="AE262" s="56" t="s">
        <v>1490</v>
      </c>
      <c r="AF262" s="56" t="s">
        <v>1490</v>
      </c>
      <c r="AG262" s="56" t="s">
        <v>1490</v>
      </c>
      <c r="AH262" s="56" t="s">
        <v>1490</v>
      </c>
      <c r="AI262" s="56" t="s">
        <v>1490</v>
      </c>
      <c r="AJ262" s="56" t="s">
        <v>1490</v>
      </c>
      <c r="AK262" s="56" t="s">
        <v>1490</v>
      </c>
    </row>
    <row r="263" spans="1:37" s="56" customFormat="1" ht="30" customHeight="1" x14ac:dyDescent="0.25">
      <c r="A263" s="56">
        <v>262</v>
      </c>
      <c r="B263" s="57" t="s">
        <v>292</v>
      </c>
      <c r="C263" s="57" t="s">
        <v>584</v>
      </c>
      <c r="D263" s="56" t="s">
        <v>618</v>
      </c>
      <c r="E263" s="56" t="s">
        <v>643</v>
      </c>
      <c r="G263" s="56" t="str">
        <f>VLOOKUP(Table1[[#This Row],[Project Code]],'[6]Combined Nov''25'!$E:$I,5,FALSE)</f>
        <v>Fully Closed</v>
      </c>
      <c r="H263" s="59">
        <v>45602</v>
      </c>
      <c r="I263" s="59">
        <v>45633</v>
      </c>
      <c r="J263" s="59" t="str">
        <f>VLOOKUP(Table1[[#This Row],[Project Code]],'[6]Combined Nov''25'!$E:$O,10,FALSE)</f>
        <v>-</v>
      </c>
      <c r="K263" s="57" t="s">
        <v>745</v>
      </c>
      <c r="L263" s="57" t="s">
        <v>767</v>
      </c>
      <c r="M263" s="56" t="s">
        <v>844</v>
      </c>
      <c r="N263" s="56" t="s">
        <v>911</v>
      </c>
      <c r="O263" s="57" t="s">
        <v>859</v>
      </c>
      <c r="P263" s="56" t="s">
        <v>865</v>
      </c>
      <c r="Q263" s="57" t="s">
        <v>887</v>
      </c>
      <c r="T263" s="57" t="s">
        <v>1041</v>
      </c>
      <c r="U263" s="57" t="s">
        <v>1212</v>
      </c>
      <c r="V263" s="56" t="s">
        <v>1057</v>
      </c>
      <c r="W263" s="60">
        <v>450000</v>
      </c>
      <c r="Y263" s="56" t="s">
        <v>1489</v>
      </c>
      <c r="Z263" s="56" t="s">
        <v>1490</v>
      </c>
      <c r="AA263" s="56" t="s">
        <v>1490</v>
      </c>
      <c r="AB263" s="56" t="s">
        <v>1490</v>
      </c>
      <c r="AC263" s="56" t="s">
        <v>1490</v>
      </c>
      <c r="AD263" s="56" t="s">
        <v>1490</v>
      </c>
      <c r="AE263" s="56" t="s">
        <v>1490</v>
      </c>
      <c r="AF263" s="56" t="s">
        <v>1490</v>
      </c>
      <c r="AG263" s="56" t="s">
        <v>1490</v>
      </c>
      <c r="AH263" s="56" t="s">
        <v>1490</v>
      </c>
      <c r="AI263" s="56" t="s">
        <v>1490</v>
      </c>
      <c r="AJ263" s="56" t="s">
        <v>1490</v>
      </c>
      <c r="AK263" s="56" t="s">
        <v>1490</v>
      </c>
    </row>
    <row r="264" spans="1:37" s="56" customFormat="1" ht="30" customHeight="1" x14ac:dyDescent="0.25">
      <c r="A264" s="56">
        <v>263</v>
      </c>
      <c r="B264" s="57" t="s">
        <v>293</v>
      </c>
      <c r="C264" s="57" t="s">
        <v>585</v>
      </c>
      <c r="D264" s="56" t="s">
        <v>618</v>
      </c>
      <c r="E264" s="56" t="s">
        <v>643</v>
      </c>
      <c r="G264" s="56" t="str">
        <f>VLOOKUP(Table1[[#This Row],[Project Code]],'[6]Combined Nov''25'!$E:$I,5,FALSE)</f>
        <v>Completed</v>
      </c>
      <c r="H264" s="59">
        <v>45608</v>
      </c>
      <c r="I264" s="59">
        <v>45657</v>
      </c>
      <c r="J264" s="59" t="str">
        <f>VLOOKUP(Table1[[#This Row],[Project Code]],'[6]Combined Nov''25'!$E:$O,10,FALSE)</f>
        <v>-</v>
      </c>
      <c r="K264" s="69" t="s">
        <v>700</v>
      </c>
      <c r="L264" s="69" t="s">
        <v>801</v>
      </c>
      <c r="M264" s="73" t="s">
        <v>844</v>
      </c>
      <c r="N264" s="73" t="s">
        <v>911</v>
      </c>
      <c r="O264" s="69" t="s">
        <v>857</v>
      </c>
      <c r="P264" s="73" t="s">
        <v>875</v>
      </c>
      <c r="Q264" s="57" t="s">
        <v>887</v>
      </c>
      <c r="T264" s="57" t="s">
        <v>1042</v>
      </c>
      <c r="U264" s="57" t="s">
        <v>1213</v>
      </c>
      <c r="V264" s="56" t="s">
        <v>1057</v>
      </c>
      <c r="W264" s="60">
        <v>2000000</v>
      </c>
      <c r="Y264" s="56" t="s">
        <v>1489</v>
      </c>
      <c r="Z264" s="56" t="s">
        <v>1490</v>
      </c>
      <c r="AA264" s="56" t="s">
        <v>1490</v>
      </c>
      <c r="AB264" s="56" t="s">
        <v>1490</v>
      </c>
      <c r="AC264" s="56" t="s">
        <v>1490</v>
      </c>
      <c r="AD264" s="56" t="s">
        <v>1490</v>
      </c>
      <c r="AE264" s="56" t="s">
        <v>1490</v>
      </c>
      <c r="AF264" s="56" t="s">
        <v>1490</v>
      </c>
      <c r="AG264" s="56" t="s">
        <v>1490</v>
      </c>
      <c r="AH264" s="56" t="s">
        <v>1490</v>
      </c>
      <c r="AI264" s="56" t="s">
        <v>1490</v>
      </c>
      <c r="AJ264" s="56" t="s">
        <v>1490</v>
      </c>
      <c r="AK264" s="56" t="s">
        <v>1490</v>
      </c>
    </row>
    <row r="265" spans="1:37" s="56" customFormat="1" ht="30" customHeight="1" x14ac:dyDescent="0.25">
      <c r="A265" s="56">
        <v>264</v>
      </c>
      <c r="B265" s="57" t="s">
        <v>294</v>
      </c>
      <c r="C265" s="57" t="s">
        <v>586</v>
      </c>
      <c r="D265" s="56" t="s">
        <v>616</v>
      </c>
      <c r="E265" s="56" t="s">
        <v>636</v>
      </c>
      <c r="G265" s="56" t="str">
        <f>VLOOKUP(Table1[[#This Row],[Project Code]],'[6]Combined Nov''25'!$E:$I,5,FALSE)</f>
        <v>Completed</v>
      </c>
      <c r="H265" s="59">
        <v>45610</v>
      </c>
      <c r="I265" s="59">
        <v>45761</v>
      </c>
      <c r="J265" s="59">
        <f>VLOOKUP(Table1[[#This Row],[Project Code]],'[6]Combined Nov''25'!$E:$O,10,FALSE)</f>
        <v>45897</v>
      </c>
      <c r="K265" s="69" t="s">
        <v>754</v>
      </c>
      <c r="L265" s="69" t="s">
        <v>804</v>
      </c>
      <c r="M265" s="73" t="s">
        <v>843</v>
      </c>
      <c r="N265" s="73" t="s">
        <v>902</v>
      </c>
      <c r="O265" s="69" t="s">
        <v>859</v>
      </c>
      <c r="P265" s="73" t="s">
        <v>864</v>
      </c>
      <c r="Q265" s="57" t="s">
        <v>887</v>
      </c>
      <c r="T265" s="57" t="s">
        <v>1085</v>
      </c>
      <c r="U265" s="57" t="s">
        <v>1214</v>
      </c>
      <c r="V265" s="56" t="s">
        <v>1058</v>
      </c>
      <c r="W265" s="60">
        <v>12076400</v>
      </c>
      <c r="Y265" s="56" t="s">
        <v>1489</v>
      </c>
      <c r="Z265" s="56" t="s">
        <v>1490</v>
      </c>
      <c r="AA265" s="56" t="s">
        <v>1490</v>
      </c>
      <c r="AB265" s="56" t="s">
        <v>1490</v>
      </c>
      <c r="AC265" s="56" t="s">
        <v>1490</v>
      </c>
      <c r="AD265" s="56" t="s">
        <v>1490</v>
      </c>
      <c r="AE265" s="56" t="s">
        <v>1490</v>
      </c>
      <c r="AF265" s="56" t="s">
        <v>1490</v>
      </c>
      <c r="AG265" s="56" t="s">
        <v>1490</v>
      </c>
      <c r="AH265" s="56" t="s">
        <v>1490</v>
      </c>
      <c r="AI265" s="56" t="s">
        <v>1490</v>
      </c>
      <c r="AJ265" s="56" t="s">
        <v>1490</v>
      </c>
      <c r="AK265" s="56" t="s">
        <v>1490</v>
      </c>
    </row>
    <row r="266" spans="1:37" s="56" customFormat="1" ht="30" customHeight="1" x14ac:dyDescent="0.25">
      <c r="A266" s="56">
        <v>265</v>
      </c>
      <c r="B266" s="57" t="s">
        <v>295</v>
      </c>
      <c r="C266" s="57" t="s">
        <v>587</v>
      </c>
      <c r="D266" s="56" t="s">
        <v>616</v>
      </c>
      <c r="E266" s="56" t="s">
        <v>636</v>
      </c>
      <c r="G266" s="56" t="str">
        <f>VLOOKUP(Table1[[#This Row],[Project Code]],'[6]Combined Nov''25'!$E:$I,5,FALSE)</f>
        <v>Completed</v>
      </c>
      <c r="H266" s="59">
        <v>45610</v>
      </c>
      <c r="I266" s="59">
        <v>45761</v>
      </c>
      <c r="J266" s="59">
        <f>VLOOKUP(Table1[[#This Row],[Project Code]],'[6]Combined Nov''25'!$E:$O,10,FALSE)</f>
        <v>45865</v>
      </c>
      <c r="K266" s="69" t="s">
        <v>754</v>
      </c>
      <c r="L266" s="69" t="s">
        <v>804</v>
      </c>
      <c r="M266" s="73" t="s">
        <v>843</v>
      </c>
      <c r="N266" s="73" t="s">
        <v>902</v>
      </c>
      <c r="O266" s="69" t="s">
        <v>859</v>
      </c>
      <c r="P266" s="73" t="s">
        <v>864</v>
      </c>
      <c r="Q266" s="57" t="s">
        <v>886</v>
      </c>
      <c r="T266" s="57" t="s">
        <v>1043</v>
      </c>
      <c r="U266" s="57" t="s">
        <v>1215</v>
      </c>
      <c r="V266" s="56" t="s">
        <v>1058</v>
      </c>
      <c r="W266" s="60">
        <v>5300400</v>
      </c>
      <c r="Y266" s="56" t="s">
        <v>1489</v>
      </c>
      <c r="Z266" s="56" t="s">
        <v>1490</v>
      </c>
      <c r="AA266" s="56" t="s">
        <v>1490</v>
      </c>
      <c r="AB266" s="56" t="s">
        <v>1490</v>
      </c>
      <c r="AC266" s="56" t="s">
        <v>1490</v>
      </c>
      <c r="AD266" s="56" t="s">
        <v>1490</v>
      </c>
      <c r="AE266" s="56" t="s">
        <v>1490</v>
      </c>
      <c r="AF266" s="56" t="s">
        <v>1490</v>
      </c>
      <c r="AG266" s="56" t="s">
        <v>1490</v>
      </c>
      <c r="AH266" s="56" t="s">
        <v>1490</v>
      </c>
      <c r="AI266" s="56" t="s">
        <v>1490</v>
      </c>
      <c r="AJ266" s="56" t="s">
        <v>1490</v>
      </c>
      <c r="AK266" s="56" t="s">
        <v>1490</v>
      </c>
    </row>
    <row r="267" spans="1:37" s="56" customFormat="1" ht="30" customHeight="1" x14ac:dyDescent="0.25">
      <c r="A267" s="56">
        <v>266</v>
      </c>
      <c r="B267" s="57" t="s">
        <v>296</v>
      </c>
      <c r="C267" s="57" t="s">
        <v>588</v>
      </c>
      <c r="D267" s="56" t="s">
        <v>615</v>
      </c>
      <c r="E267" s="56" t="s">
        <v>624</v>
      </c>
      <c r="G267" s="56" t="str">
        <f>VLOOKUP(Table1[[#This Row],[Project Code]],'[6]Combined Nov''25'!$E:$I,5,FALSE)</f>
        <v>Completed</v>
      </c>
      <c r="H267" s="59">
        <v>45614</v>
      </c>
      <c r="I267" s="59">
        <v>45795</v>
      </c>
      <c r="J267" s="59"/>
      <c r="K267" s="69" t="s">
        <v>755</v>
      </c>
      <c r="L267" s="69" t="s">
        <v>767</v>
      </c>
      <c r="M267" s="73" t="s">
        <v>844</v>
      </c>
      <c r="N267" s="73" t="s">
        <v>915</v>
      </c>
      <c r="O267" s="69" t="s">
        <v>859</v>
      </c>
      <c r="P267" s="73" t="s">
        <v>865</v>
      </c>
      <c r="Q267" s="57" t="s">
        <v>887</v>
      </c>
      <c r="T267" s="57">
        <f>VLOOKUP(Table1[[#This Row],[Project Code]],'[6]Combined Nov''25'!$E:$P,12,FALSE)</f>
        <v>0</v>
      </c>
      <c r="U267" s="57" t="s">
        <v>1216</v>
      </c>
      <c r="V267" s="56">
        <v>0</v>
      </c>
      <c r="W267" s="60">
        <v>3787840</v>
      </c>
      <c r="Y267" s="56" t="s">
        <v>1489</v>
      </c>
      <c r="Z267" s="56" t="s">
        <v>1490</v>
      </c>
      <c r="AA267" s="56" t="s">
        <v>1490</v>
      </c>
      <c r="AB267" s="56" t="s">
        <v>1490</v>
      </c>
      <c r="AC267" s="56" t="s">
        <v>1490</v>
      </c>
      <c r="AD267" s="56" t="s">
        <v>1490</v>
      </c>
      <c r="AE267" s="56" t="s">
        <v>1490</v>
      </c>
      <c r="AF267" s="56" t="s">
        <v>1490</v>
      </c>
      <c r="AG267" s="56" t="s">
        <v>1490</v>
      </c>
      <c r="AH267" s="56" t="s">
        <v>1490</v>
      </c>
      <c r="AI267" s="56" t="s">
        <v>1490</v>
      </c>
      <c r="AJ267" s="56" t="s">
        <v>1490</v>
      </c>
      <c r="AK267" s="56" t="s">
        <v>1490</v>
      </c>
    </row>
    <row r="268" spans="1:37" s="56" customFormat="1" ht="30" customHeight="1" x14ac:dyDescent="0.25">
      <c r="A268" s="56">
        <v>267</v>
      </c>
      <c r="B268" s="57" t="s">
        <v>297</v>
      </c>
      <c r="C268" s="57" t="s">
        <v>589</v>
      </c>
      <c r="D268" s="56" t="s">
        <v>618</v>
      </c>
      <c r="E268" s="56" t="s">
        <v>643</v>
      </c>
      <c r="G268" s="56" t="str">
        <f>VLOOKUP(Table1[[#This Row],[Project Code]],'[6]Combined Nov''25'!$E:$I,5,FALSE)</f>
        <v>Completed</v>
      </c>
      <c r="H268" s="59">
        <v>45619</v>
      </c>
      <c r="I268" s="59">
        <v>45634</v>
      </c>
      <c r="J268" s="59">
        <f>VLOOKUP(Table1[[#This Row],[Project Code]],'[6]Combined Nov''25'!$E:$O,10,FALSE)</f>
        <v>45716</v>
      </c>
      <c r="K268" s="69" t="s">
        <v>756</v>
      </c>
      <c r="L268" s="69" t="s">
        <v>836</v>
      </c>
      <c r="M268" s="73" t="s">
        <v>849</v>
      </c>
      <c r="N268" s="73" t="s">
        <v>911</v>
      </c>
      <c r="O268" s="69" t="s">
        <v>857</v>
      </c>
      <c r="P268" s="73" t="s">
        <v>865</v>
      </c>
      <c r="Q268" s="57" t="s">
        <v>887</v>
      </c>
      <c r="T268" s="57" t="s">
        <v>1044</v>
      </c>
      <c r="U268" s="57" t="s">
        <v>1217</v>
      </c>
      <c r="V268" s="56" t="s">
        <v>1057</v>
      </c>
      <c r="W268" s="60">
        <v>300000</v>
      </c>
      <c r="Y268" s="56" t="s">
        <v>1489</v>
      </c>
      <c r="Z268" s="56" t="s">
        <v>1490</v>
      </c>
      <c r="AA268" s="56" t="s">
        <v>1490</v>
      </c>
      <c r="AB268" s="56" t="s">
        <v>1490</v>
      </c>
      <c r="AC268" s="56" t="s">
        <v>1490</v>
      </c>
      <c r="AD268" s="56" t="s">
        <v>1490</v>
      </c>
      <c r="AE268" s="56" t="s">
        <v>1490</v>
      </c>
      <c r="AF268" s="56" t="s">
        <v>1490</v>
      </c>
      <c r="AG268" s="56" t="s">
        <v>1490</v>
      </c>
      <c r="AH268" s="56" t="s">
        <v>1490</v>
      </c>
      <c r="AI268" s="56" t="s">
        <v>1490</v>
      </c>
      <c r="AJ268" s="56" t="s">
        <v>1490</v>
      </c>
      <c r="AK268" s="56" t="s">
        <v>1490</v>
      </c>
    </row>
    <row r="269" spans="1:37" s="56" customFormat="1" ht="30" customHeight="1" x14ac:dyDescent="0.25">
      <c r="A269" s="56">
        <v>268</v>
      </c>
      <c r="B269" s="57" t="s">
        <v>298</v>
      </c>
      <c r="C269" s="57" t="s">
        <v>590</v>
      </c>
      <c r="D269" s="56" t="s">
        <v>617</v>
      </c>
      <c r="E269" s="56" t="s">
        <v>638</v>
      </c>
      <c r="G269" s="56" t="str">
        <f>VLOOKUP(Table1[[#This Row],[Project Code]],'[6]Combined Nov''25'!$E:$I,5,FALSE)</f>
        <v>Ongoing</v>
      </c>
      <c r="H269" s="59">
        <v>45621</v>
      </c>
      <c r="I269" s="59">
        <v>45767</v>
      </c>
      <c r="J269" s="59" t="str">
        <f>VLOOKUP(Table1[[#This Row],[Project Code]],'[6]Combined Nov''25'!$E:$O,10,FALSE)</f>
        <v>The revised date shall be determined based on the directions from MD, OSCSC and PPID Heads meeting with the client</v>
      </c>
      <c r="K269" s="69" t="s">
        <v>757</v>
      </c>
      <c r="L269" s="69" t="s">
        <v>807</v>
      </c>
      <c r="M269" s="73" t="s">
        <v>844</v>
      </c>
      <c r="N269" s="73" t="s">
        <v>909</v>
      </c>
      <c r="O269" s="69" t="s">
        <v>860</v>
      </c>
      <c r="P269" s="73" t="s">
        <v>876</v>
      </c>
      <c r="Q269" s="57" t="s">
        <v>887</v>
      </c>
      <c r="T269" s="57" t="s">
        <v>1086</v>
      </c>
      <c r="U269" s="57" t="s">
        <v>1218</v>
      </c>
      <c r="V269" s="56" t="s">
        <v>1057</v>
      </c>
      <c r="W269" s="60">
        <v>20077200</v>
      </c>
      <c r="Y269" s="56" t="s">
        <v>1489</v>
      </c>
      <c r="Z269" s="56" t="s">
        <v>1490</v>
      </c>
      <c r="AA269" s="56" t="s">
        <v>1490</v>
      </c>
      <c r="AB269" s="56" t="s">
        <v>1490</v>
      </c>
      <c r="AC269" s="56" t="s">
        <v>1490</v>
      </c>
      <c r="AD269" s="56" t="s">
        <v>1490</v>
      </c>
      <c r="AE269" s="56" t="s">
        <v>1490</v>
      </c>
      <c r="AF269" s="56" t="s">
        <v>1490</v>
      </c>
      <c r="AG269" s="56" t="s">
        <v>1490</v>
      </c>
      <c r="AH269" s="56" t="s">
        <v>1490</v>
      </c>
      <c r="AI269" s="56" t="s">
        <v>1490</v>
      </c>
      <c r="AJ269" s="56" t="s">
        <v>1490</v>
      </c>
      <c r="AK269" s="56" t="s">
        <v>1490</v>
      </c>
    </row>
    <row r="270" spans="1:37" s="56" customFormat="1" ht="30" customHeight="1" x14ac:dyDescent="0.25">
      <c r="A270" s="56">
        <v>269</v>
      </c>
      <c r="B270" s="57" t="s">
        <v>299</v>
      </c>
      <c r="C270" s="57" t="s">
        <v>591</v>
      </c>
      <c r="D270" s="56" t="s">
        <v>618</v>
      </c>
      <c r="E270" s="56" t="s">
        <v>641</v>
      </c>
      <c r="G270" s="56" t="str">
        <f>VLOOKUP(Table1[[#This Row],[Project Code]],'[6]Combined Nov''25'!$E:$I,5,FALSE)</f>
        <v>Ongoing</v>
      </c>
      <c r="H270" s="59">
        <v>45630</v>
      </c>
      <c r="I270" s="59">
        <v>46145</v>
      </c>
      <c r="J270" s="59"/>
      <c r="K270" s="69" t="s">
        <v>758</v>
      </c>
      <c r="L270" s="69" t="s">
        <v>696</v>
      </c>
      <c r="M270" s="73" t="s">
        <v>847</v>
      </c>
      <c r="N270" s="73" t="s">
        <v>911</v>
      </c>
      <c r="O270" s="69" t="s">
        <v>857</v>
      </c>
      <c r="P270" s="73" t="s">
        <v>870</v>
      </c>
      <c r="Q270" s="57" t="s">
        <v>887</v>
      </c>
      <c r="T270" s="57" t="s">
        <v>1045</v>
      </c>
      <c r="U270" s="57" t="s">
        <v>1219</v>
      </c>
      <c r="V270" s="56" t="s">
        <v>1058</v>
      </c>
      <c r="W270" s="60">
        <v>5428085.2699999996</v>
      </c>
      <c r="X270" s="56" t="s">
        <v>1491</v>
      </c>
      <c r="Y270" s="56" t="s">
        <v>1489</v>
      </c>
      <c r="Z270" s="56" t="s">
        <v>1491</v>
      </c>
      <c r="AA270" s="56" t="s">
        <v>1491</v>
      </c>
      <c r="AB270" s="56" t="s">
        <v>1491</v>
      </c>
      <c r="AC270" s="56" t="s">
        <v>1491</v>
      </c>
      <c r="AD270" s="56" t="s">
        <v>1490</v>
      </c>
      <c r="AE270" s="56" t="s">
        <v>1490</v>
      </c>
      <c r="AF270" s="56" t="s">
        <v>1490</v>
      </c>
      <c r="AG270" s="56" t="s">
        <v>1490</v>
      </c>
      <c r="AH270" s="56" t="s">
        <v>1490</v>
      </c>
      <c r="AI270" s="56" t="s">
        <v>1490</v>
      </c>
      <c r="AJ270" s="56" t="s">
        <v>1490</v>
      </c>
      <c r="AK270" s="56" t="s">
        <v>1490</v>
      </c>
    </row>
    <row r="271" spans="1:37" s="56" customFormat="1" ht="30" customHeight="1" x14ac:dyDescent="0.25">
      <c r="A271" s="56">
        <v>270</v>
      </c>
      <c r="B271" s="57" t="s">
        <v>300</v>
      </c>
      <c r="C271" s="57" t="s">
        <v>592</v>
      </c>
      <c r="D271" s="56" t="s">
        <v>618</v>
      </c>
      <c r="E271" s="56" t="s">
        <v>643</v>
      </c>
      <c r="G271" s="56" t="str">
        <f>VLOOKUP(Table1[[#This Row],[Project Code]],'[6]Combined Nov''25'!$E:$I,5,FALSE)</f>
        <v>Ongoing</v>
      </c>
      <c r="H271" s="59">
        <v>45642</v>
      </c>
      <c r="I271" s="59">
        <v>46371</v>
      </c>
      <c r="J271" s="59" t="str">
        <f>VLOOKUP(Table1[[#This Row],[Project Code]],'[6]Combined Nov''25'!$E:$O,10,FALSE)</f>
        <v>-</v>
      </c>
      <c r="K271" s="69" t="s">
        <v>759</v>
      </c>
      <c r="L271" s="69" t="s">
        <v>837</v>
      </c>
      <c r="M271" s="73" t="s">
        <v>844</v>
      </c>
      <c r="N271" s="73" t="s">
        <v>911</v>
      </c>
      <c r="O271" s="69" t="s">
        <v>857</v>
      </c>
      <c r="P271" s="73" t="s">
        <v>882</v>
      </c>
      <c r="Q271" s="57" t="s">
        <v>888</v>
      </c>
      <c r="T271" s="57" t="s">
        <v>1046</v>
      </c>
      <c r="U271" s="57" t="s">
        <v>1220</v>
      </c>
      <c r="V271" s="56" t="s">
        <v>1057</v>
      </c>
      <c r="W271" s="60">
        <v>27360000</v>
      </c>
      <c r="Y271" s="56" t="s">
        <v>1489</v>
      </c>
      <c r="Z271" s="56" t="s">
        <v>1490</v>
      </c>
      <c r="AA271" s="56" t="s">
        <v>1490</v>
      </c>
      <c r="AB271" s="56" t="s">
        <v>1490</v>
      </c>
      <c r="AC271" s="56" t="s">
        <v>1490</v>
      </c>
      <c r="AD271" s="56" t="s">
        <v>1490</v>
      </c>
      <c r="AE271" s="56" t="s">
        <v>1490</v>
      </c>
      <c r="AF271" s="56" t="s">
        <v>1490</v>
      </c>
      <c r="AG271" s="56" t="s">
        <v>1490</v>
      </c>
      <c r="AH271" s="56" t="s">
        <v>1490</v>
      </c>
      <c r="AI271" s="56" t="s">
        <v>1490</v>
      </c>
      <c r="AJ271" s="56" t="s">
        <v>1490</v>
      </c>
      <c r="AK271" s="56" t="s">
        <v>1490</v>
      </c>
    </row>
    <row r="272" spans="1:37" s="56" customFormat="1" ht="30" customHeight="1" x14ac:dyDescent="0.25">
      <c r="A272" s="56">
        <v>271</v>
      </c>
      <c r="B272" s="57" t="s">
        <v>301</v>
      </c>
      <c r="C272" s="57" t="s">
        <v>593</v>
      </c>
      <c r="D272" s="56" t="s">
        <v>621</v>
      </c>
      <c r="E272" s="56" t="s">
        <v>654</v>
      </c>
      <c r="G272" s="56" t="str">
        <f>VLOOKUP(Table1[[#This Row],[Project Code]],'[6]Combined Nov''25'!$E:$I,5,FALSE)</f>
        <v>Booked under SPD from FY 2025-26</v>
      </c>
      <c r="H272" s="59">
        <v>45631</v>
      </c>
      <c r="I272" s="59">
        <v>45812</v>
      </c>
      <c r="J272" s="59" t="str">
        <f>VLOOKUP(Table1[[#This Row],[Project Code]],'[6]Combined Nov''25'!$E:$O,10,FALSE)</f>
        <v>-</v>
      </c>
      <c r="K272" s="57" t="s">
        <v>760</v>
      </c>
      <c r="L272" s="57" t="s">
        <v>838</v>
      </c>
      <c r="M272" s="56" t="s">
        <v>843</v>
      </c>
      <c r="N272" s="56" t="s">
        <v>935</v>
      </c>
      <c r="O272" s="57" t="s">
        <v>858</v>
      </c>
      <c r="P272" s="56" t="s">
        <v>877</v>
      </c>
      <c r="Q272" s="57" t="s">
        <v>887</v>
      </c>
      <c r="T272" s="57" t="s">
        <v>968</v>
      </c>
      <c r="U272" s="57" t="s">
        <v>1221</v>
      </c>
      <c r="V272" s="56" t="s">
        <v>1057</v>
      </c>
      <c r="W272" s="60">
        <v>21862400</v>
      </c>
      <c r="Y272" s="56" t="s">
        <v>1489</v>
      </c>
      <c r="Z272" s="56" t="s">
        <v>1490</v>
      </c>
      <c r="AA272" s="56" t="s">
        <v>1490</v>
      </c>
      <c r="AB272" s="56" t="s">
        <v>1490</v>
      </c>
      <c r="AC272" s="56" t="s">
        <v>1490</v>
      </c>
      <c r="AD272" s="56" t="s">
        <v>1490</v>
      </c>
      <c r="AE272" s="56" t="s">
        <v>1490</v>
      </c>
      <c r="AF272" s="56" t="s">
        <v>1490</v>
      </c>
      <c r="AG272" s="56" t="s">
        <v>1490</v>
      </c>
      <c r="AH272" s="56" t="s">
        <v>1490</v>
      </c>
      <c r="AI272" s="56" t="s">
        <v>1490</v>
      </c>
      <c r="AJ272" s="56" t="s">
        <v>1490</v>
      </c>
      <c r="AK272" s="56" t="s">
        <v>1490</v>
      </c>
    </row>
    <row r="273" spans="1:37" s="56" customFormat="1" ht="30" customHeight="1" x14ac:dyDescent="0.25">
      <c r="A273" s="56">
        <v>272</v>
      </c>
      <c r="B273" s="57" t="s">
        <v>302</v>
      </c>
      <c r="C273" s="57" t="s">
        <v>594</v>
      </c>
      <c r="D273" s="56" t="s">
        <v>618</v>
      </c>
      <c r="E273" s="56" t="s">
        <v>627</v>
      </c>
      <c r="G273" s="56" t="str">
        <f>VLOOKUP(Table1[[#This Row],[Project Code]],'[6]Combined Nov''25'!$E:$I,5,FALSE)</f>
        <v>Fully Closed</v>
      </c>
      <c r="H273" s="59">
        <v>45640</v>
      </c>
      <c r="I273" s="59">
        <v>45731</v>
      </c>
      <c r="J273" s="59">
        <f>VLOOKUP(Table1[[#This Row],[Project Code]],'[6]Combined Nov''25'!$E:$O,10,FALSE)</f>
        <v>45818</v>
      </c>
      <c r="K273" s="69" t="str">
        <f>VLOOKUP(Table1[[#This Row],[Project Code]],'[6]Combined Nov''25'!$E:$K,6,FALSE)</f>
        <v>Ministry of Labour &amp; Employment</v>
      </c>
      <c r="L273" s="69" t="s">
        <v>839</v>
      </c>
      <c r="M273" s="73" t="s">
        <v>843</v>
      </c>
      <c r="N273" s="73" t="s">
        <v>892</v>
      </c>
      <c r="O273" s="69" t="s">
        <v>858</v>
      </c>
      <c r="P273" s="73" t="s">
        <v>864</v>
      </c>
      <c r="Q273" s="57" t="s">
        <v>887</v>
      </c>
      <c r="T273" s="57" t="s">
        <v>1047</v>
      </c>
      <c r="U273" s="57" t="s">
        <v>1222</v>
      </c>
      <c r="V273" s="56" t="s">
        <v>1058</v>
      </c>
      <c r="W273" s="60">
        <v>1691200</v>
      </c>
      <c r="Y273" s="56" t="s">
        <v>1489</v>
      </c>
      <c r="Z273" s="56" t="s">
        <v>1490</v>
      </c>
      <c r="AA273" s="56" t="s">
        <v>1490</v>
      </c>
      <c r="AB273" s="56" t="s">
        <v>1490</v>
      </c>
      <c r="AC273" s="56" t="s">
        <v>1490</v>
      </c>
      <c r="AD273" s="56" t="s">
        <v>1490</v>
      </c>
      <c r="AE273" s="56" t="s">
        <v>1490</v>
      </c>
      <c r="AF273" s="56" t="s">
        <v>1490</v>
      </c>
      <c r="AG273" s="56" t="s">
        <v>1490</v>
      </c>
      <c r="AH273" s="56" t="s">
        <v>1490</v>
      </c>
      <c r="AI273" s="56" t="s">
        <v>1490</v>
      </c>
      <c r="AJ273" s="56" t="s">
        <v>1490</v>
      </c>
      <c r="AK273" s="56" t="s">
        <v>1490</v>
      </c>
    </row>
    <row r="274" spans="1:37" s="56" customFormat="1" ht="30" customHeight="1" x14ac:dyDescent="0.25">
      <c r="A274" s="56">
        <v>273</v>
      </c>
      <c r="B274" s="57" t="s">
        <v>303</v>
      </c>
      <c r="C274" s="57" t="s">
        <v>595</v>
      </c>
      <c r="D274" s="56" t="s">
        <v>617</v>
      </c>
      <c r="E274" s="56" t="s">
        <v>660</v>
      </c>
      <c r="G274" s="56" t="str">
        <f>VLOOKUP(Table1[[#This Row],[Project Code]],'[6]Combined Nov''25'!$E:$I,5,FALSE)</f>
        <v>Ongoing</v>
      </c>
      <c r="H274" s="59">
        <v>45642</v>
      </c>
      <c r="I274" s="59">
        <v>45777</v>
      </c>
      <c r="J274" s="59">
        <f>VLOOKUP(Table1[[#This Row],[Project Code]],'[6]Combined Nov''25'!$E:$O,10,FALSE)</f>
        <v>45913</v>
      </c>
      <c r="K274" s="69" t="s">
        <v>761</v>
      </c>
      <c r="L274" s="69" t="s">
        <v>726</v>
      </c>
      <c r="M274" s="73" t="s">
        <v>854</v>
      </c>
      <c r="N274" s="73" t="s">
        <v>891</v>
      </c>
      <c r="O274" s="69" t="s">
        <v>860</v>
      </c>
      <c r="P274" s="73" t="s">
        <v>864</v>
      </c>
      <c r="Q274" s="57" t="s">
        <v>887</v>
      </c>
      <c r="T274" s="57" t="s">
        <v>1087</v>
      </c>
      <c r="U274" s="57" t="s">
        <v>1223</v>
      </c>
      <c r="V274" s="56" t="s">
        <v>1057</v>
      </c>
      <c r="W274" s="60">
        <v>34391672</v>
      </c>
      <c r="Y274" s="56" t="s">
        <v>1489</v>
      </c>
      <c r="Z274" s="56" t="s">
        <v>1490</v>
      </c>
      <c r="AA274" s="56" t="s">
        <v>1490</v>
      </c>
      <c r="AB274" s="56" t="s">
        <v>1490</v>
      </c>
      <c r="AC274" s="56" t="s">
        <v>1490</v>
      </c>
      <c r="AD274" s="56" t="s">
        <v>1490</v>
      </c>
      <c r="AE274" s="56" t="s">
        <v>1490</v>
      </c>
      <c r="AF274" s="56" t="s">
        <v>1490</v>
      </c>
      <c r="AG274" s="56" t="s">
        <v>1490</v>
      </c>
      <c r="AH274" s="56" t="s">
        <v>1490</v>
      </c>
      <c r="AI274" s="56" t="s">
        <v>1490</v>
      </c>
      <c r="AJ274" s="56" t="s">
        <v>1490</v>
      </c>
      <c r="AK274" s="56" t="s">
        <v>1490</v>
      </c>
    </row>
    <row r="275" spans="1:37" s="56" customFormat="1" ht="30" customHeight="1" x14ac:dyDescent="0.25">
      <c r="A275" s="56">
        <v>274</v>
      </c>
      <c r="B275" s="57" t="s">
        <v>304</v>
      </c>
      <c r="C275" s="57" t="s">
        <v>596</v>
      </c>
      <c r="D275" s="56" t="s">
        <v>616</v>
      </c>
      <c r="E275" s="56" t="s">
        <v>628</v>
      </c>
      <c r="G275" s="56" t="str">
        <f>VLOOKUP(Table1[[#This Row],[Project Code]],'[6]Combined Nov''25'!$E:$I,5,FALSE)</f>
        <v>Ongoing</v>
      </c>
      <c r="H275" s="59">
        <v>45628</v>
      </c>
      <c r="I275" s="59">
        <v>45992</v>
      </c>
      <c r="J275" s="59"/>
      <c r="K275" s="69" t="str">
        <f>VLOOKUP(Table1[[#This Row],[Project Code]],'[6]Combined Nov''25'!$E:$K,6,FALSE)</f>
        <v>Ministry of Culture</v>
      </c>
      <c r="L275" s="69" t="s">
        <v>765</v>
      </c>
      <c r="M275" s="73" t="s">
        <v>843</v>
      </c>
      <c r="N275" s="73" t="s">
        <v>893</v>
      </c>
      <c r="O275" s="69" t="s">
        <v>862</v>
      </c>
      <c r="P275" s="73" t="s">
        <v>864</v>
      </c>
      <c r="Q275" s="57" t="s">
        <v>886</v>
      </c>
      <c r="T275" s="57" t="s">
        <v>1088</v>
      </c>
      <c r="U275" s="57" t="s">
        <v>1224</v>
      </c>
      <c r="V275" s="56" t="s">
        <v>1057</v>
      </c>
      <c r="W275" s="60">
        <v>10416000</v>
      </c>
      <c r="Y275" s="56" t="s">
        <v>1489</v>
      </c>
      <c r="Z275" s="56" t="s">
        <v>1490</v>
      </c>
      <c r="AA275" s="56" t="s">
        <v>1490</v>
      </c>
      <c r="AB275" s="56" t="s">
        <v>1490</v>
      </c>
      <c r="AC275" s="56" t="s">
        <v>1490</v>
      </c>
      <c r="AD275" s="56" t="s">
        <v>1490</v>
      </c>
      <c r="AE275" s="56" t="s">
        <v>1490</v>
      </c>
      <c r="AF275" s="56" t="s">
        <v>1490</v>
      </c>
      <c r="AG275" s="56" t="s">
        <v>1490</v>
      </c>
      <c r="AH275" s="56" t="s">
        <v>1490</v>
      </c>
      <c r="AI275" s="56" t="s">
        <v>1490</v>
      </c>
      <c r="AJ275" s="56" t="s">
        <v>1490</v>
      </c>
      <c r="AK275" s="56" t="s">
        <v>1490</v>
      </c>
    </row>
    <row r="276" spans="1:37" s="56" customFormat="1" ht="30" customHeight="1" x14ac:dyDescent="0.25">
      <c r="A276" s="56">
        <v>275</v>
      </c>
      <c r="B276" s="57" t="s">
        <v>305</v>
      </c>
      <c r="C276" s="57" t="s">
        <v>597</v>
      </c>
      <c r="D276" s="56" t="s">
        <v>615</v>
      </c>
      <c r="E276" s="56" t="s">
        <v>657</v>
      </c>
      <c r="G276" s="56" t="str">
        <f>VLOOKUP(Table1[[#This Row],[Project Code]],'[6]Combined Nov''25'!$E:$I,5,FALSE)</f>
        <v>Completed</v>
      </c>
      <c r="H276" s="59">
        <v>45639</v>
      </c>
      <c r="I276" s="59">
        <v>45728</v>
      </c>
      <c r="J276" s="59">
        <f>VLOOKUP(Table1[[#This Row],[Project Code]],'[6]Combined Nov''25'!$E:$O,10,FALSE)</f>
        <v>45841</v>
      </c>
      <c r="K276" s="69" t="s">
        <v>695</v>
      </c>
      <c r="L276" s="69" t="s">
        <v>817</v>
      </c>
      <c r="M276" s="73" t="s">
        <v>843</v>
      </c>
      <c r="N276" s="73" t="s">
        <v>620</v>
      </c>
      <c r="O276" s="69" t="s">
        <v>863</v>
      </c>
      <c r="P276" s="73" t="s">
        <v>864</v>
      </c>
      <c r="Q276" s="57" t="s">
        <v>888</v>
      </c>
      <c r="T276" s="57" t="s">
        <v>1089</v>
      </c>
      <c r="U276" s="57" t="s">
        <v>1225</v>
      </c>
      <c r="V276" s="56">
        <v>0</v>
      </c>
      <c r="W276" s="60">
        <v>1512000</v>
      </c>
      <c r="Y276" s="56" t="s">
        <v>1489</v>
      </c>
      <c r="Z276" s="56" t="s">
        <v>1490</v>
      </c>
      <c r="AA276" s="56" t="s">
        <v>1490</v>
      </c>
      <c r="AB276" s="56" t="s">
        <v>1490</v>
      </c>
      <c r="AC276" s="56" t="s">
        <v>1490</v>
      </c>
      <c r="AD276" s="56" t="s">
        <v>1490</v>
      </c>
      <c r="AE276" s="56" t="s">
        <v>1490</v>
      </c>
      <c r="AF276" s="56" t="s">
        <v>1490</v>
      </c>
      <c r="AG276" s="56" t="s">
        <v>1490</v>
      </c>
      <c r="AH276" s="56" t="s">
        <v>1490</v>
      </c>
      <c r="AI276" s="56" t="s">
        <v>1490</v>
      </c>
      <c r="AJ276" s="56" t="s">
        <v>1490</v>
      </c>
      <c r="AK276" s="56" t="s">
        <v>1490</v>
      </c>
    </row>
    <row r="277" spans="1:37" s="56" customFormat="1" ht="30" customHeight="1" x14ac:dyDescent="0.25">
      <c r="A277" s="56">
        <v>276</v>
      </c>
      <c r="B277" s="57" t="s">
        <v>306</v>
      </c>
      <c r="C277" s="57" t="s">
        <v>598</v>
      </c>
      <c r="D277" s="56" t="s">
        <v>618</v>
      </c>
      <c r="E277" s="56" t="s">
        <v>641</v>
      </c>
      <c r="G277" s="56" t="str">
        <f>VLOOKUP(Table1[[#This Row],[Project Code]],'[6]Combined Nov''25'!$E:$I,5,FALSE)</f>
        <v>Ongoing</v>
      </c>
      <c r="H277" s="59">
        <v>45639</v>
      </c>
      <c r="I277" s="59">
        <v>46003</v>
      </c>
      <c r="J277" s="59"/>
      <c r="K277" s="69" t="s">
        <v>762</v>
      </c>
      <c r="L277" s="69" t="s">
        <v>838</v>
      </c>
      <c r="M277" s="73" t="s">
        <v>843</v>
      </c>
      <c r="N277" s="73" t="s">
        <v>911</v>
      </c>
      <c r="O277" s="69" t="s">
        <v>857</v>
      </c>
      <c r="P277" s="73" t="s">
        <v>870</v>
      </c>
      <c r="Q277" s="57" t="s">
        <v>887</v>
      </c>
      <c r="T277" s="57" t="s">
        <v>1048</v>
      </c>
      <c r="U277" s="57" t="s">
        <v>1226</v>
      </c>
      <c r="V277" s="56" t="s">
        <v>1058</v>
      </c>
      <c r="W277" s="60">
        <v>7169491.5300000003</v>
      </c>
      <c r="X277" s="56" t="s">
        <v>1491</v>
      </c>
      <c r="Y277" s="56" t="s">
        <v>1491</v>
      </c>
      <c r="Z277" s="56" t="s">
        <v>1491</v>
      </c>
      <c r="AA277" s="56" t="s">
        <v>1489</v>
      </c>
      <c r="AB277" s="56" t="s">
        <v>1491</v>
      </c>
      <c r="AC277" s="56" t="s">
        <v>1491</v>
      </c>
      <c r="AD277" s="56" t="s">
        <v>1490</v>
      </c>
      <c r="AE277" s="56" t="s">
        <v>1490</v>
      </c>
      <c r="AF277" s="56" t="s">
        <v>1490</v>
      </c>
      <c r="AG277" s="56" t="s">
        <v>1490</v>
      </c>
      <c r="AH277" s="56" t="s">
        <v>1490</v>
      </c>
      <c r="AI277" s="56" t="s">
        <v>1490</v>
      </c>
      <c r="AJ277" s="56" t="s">
        <v>1490</v>
      </c>
      <c r="AK277" s="56" t="s">
        <v>1490</v>
      </c>
    </row>
    <row r="278" spans="1:37" s="56" customFormat="1" ht="30" customHeight="1" x14ac:dyDescent="0.25">
      <c r="A278" s="56">
        <v>277</v>
      </c>
      <c r="B278" s="57" t="s">
        <v>307</v>
      </c>
      <c r="C278" s="57" t="s">
        <v>599</v>
      </c>
      <c r="D278" s="56" t="s">
        <v>615</v>
      </c>
      <c r="E278" s="56" t="s">
        <v>644</v>
      </c>
      <c r="G278" s="56" t="str">
        <f>VLOOKUP(Table1[[#This Row],[Project Code]],'[6]Combined Nov''25'!$E:$I,5,FALSE)</f>
        <v>Completed</v>
      </c>
      <c r="H278" s="59">
        <v>45665</v>
      </c>
      <c r="I278" s="59">
        <v>45784</v>
      </c>
      <c r="J278" s="59" t="str">
        <f>VLOOKUP(Table1[[#This Row],[Project Code]],'[6]Combined Nov''25'!$E:$O,10,FALSE)</f>
        <v>-</v>
      </c>
      <c r="K278" s="69" t="s">
        <v>695</v>
      </c>
      <c r="L278" s="69" t="s">
        <v>817</v>
      </c>
      <c r="M278" s="73" t="s">
        <v>843</v>
      </c>
      <c r="N278" s="73" t="s">
        <v>620</v>
      </c>
      <c r="O278" s="69" t="s">
        <v>863</v>
      </c>
      <c r="P278" s="73" t="s">
        <v>864</v>
      </c>
      <c r="Q278" s="57" t="s">
        <v>886</v>
      </c>
      <c r="T278" s="57" t="str">
        <f>VLOOKUP(Table1[[#This Row],[Project Code]],'[6]Combined Nov''25'!$E:$P,12,FALSE)</f>
        <v>Team to assist the Documentation &amp; Dissemination Division of DARPG in producing the documentary films, organize conferences, making of proceedings, speeches, etc.</v>
      </c>
      <c r="U278" s="57" t="s">
        <v>1227</v>
      </c>
      <c r="V278" s="56" t="s">
        <v>1057</v>
      </c>
      <c r="W278" s="60">
        <v>1344000</v>
      </c>
      <c r="Y278" s="56" t="s">
        <v>1489</v>
      </c>
      <c r="Z278" s="56" t="s">
        <v>1490</v>
      </c>
      <c r="AA278" s="56" t="s">
        <v>1490</v>
      </c>
      <c r="AB278" s="56" t="s">
        <v>1490</v>
      </c>
      <c r="AC278" s="56" t="s">
        <v>1490</v>
      </c>
      <c r="AD278" s="56" t="s">
        <v>1490</v>
      </c>
      <c r="AE278" s="56" t="s">
        <v>1490</v>
      </c>
      <c r="AF278" s="56" t="s">
        <v>1490</v>
      </c>
      <c r="AG278" s="56" t="s">
        <v>1490</v>
      </c>
      <c r="AH278" s="56" t="s">
        <v>1490</v>
      </c>
      <c r="AI278" s="56" t="s">
        <v>1490</v>
      </c>
      <c r="AJ278" s="56" t="s">
        <v>1490</v>
      </c>
      <c r="AK278" s="56" t="s">
        <v>1490</v>
      </c>
    </row>
    <row r="279" spans="1:37" s="56" customFormat="1" ht="30" customHeight="1" x14ac:dyDescent="0.25">
      <c r="A279" s="56">
        <v>278</v>
      </c>
      <c r="B279" s="57" t="s">
        <v>308</v>
      </c>
      <c r="C279" s="57" t="s">
        <v>600</v>
      </c>
      <c r="D279" s="56" t="s">
        <v>619</v>
      </c>
      <c r="E279" s="56" t="s">
        <v>632</v>
      </c>
      <c r="G279" s="56" t="str">
        <f>VLOOKUP(Table1[[#This Row],[Project Code]],'[6]Combined Nov''25'!$E:$I,5,FALSE)</f>
        <v>Ongoing</v>
      </c>
      <c r="H279" s="59">
        <v>45698</v>
      </c>
      <c r="I279" s="59">
        <v>46428</v>
      </c>
      <c r="J279" s="59"/>
      <c r="K279" s="69" t="s">
        <v>763</v>
      </c>
      <c r="L279" s="69" t="s">
        <v>840</v>
      </c>
      <c r="M279" s="73" t="s">
        <v>847</v>
      </c>
      <c r="N279" s="73" t="s">
        <v>895</v>
      </c>
      <c r="O279" s="69" t="s">
        <v>861</v>
      </c>
      <c r="P279" s="73" t="s">
        <v>885</v>
      </c>
      <c r="Q279" s="57" t="s">
        <v>887</v>
      </c>
      <c r="T279" s="57" t="s">
        <v>1049</v>
      </c>
      <c r="U279" s="57" t="s">
        <v>1228</v>
      </c>
      <c r="V279" s="56" t="s">
        <v>1057</v>
      </c>
      <c r="W279" s="60">
        <v>139539510</v>
      </c>
      <c r="Y279" s="56" t="s">
        <v>1489</v>
      </c>
      <c r="Z279" s="56" t="s">
        <v>1490</v>
      </c>
      <c r="AA279" s="56" t="s">
        <v>1490</v>
      </c>
      <c r="AB279" s="56" t="s">
        <v>1490</v>
      </c>
      <c r="AC279" s="56" t="s">
        <v>1490</v>
      </c>
      <c r="AD279" s="56" t="s">
        <v>1490</v>
      </c>
      <c r="AE279" s="56" t="s">
        <v>1490</v>
      </c>
      <c r="AF279" s="56" t="s">
        <v>1490</v>
      </c>
      <c r="AG279" s="56" t="s">
        <v>1490</v>
      </c>
      <c r="AH279" s="56" t="s">
        <v>1490</v>
      </c>
      <c r="AI279" s="56" t="s">
        <v>1490</v>
      </c>
      <c r="AJ279" s="56" t="s">
        <v>1490</v>
      </c>
      <c r="AK279" s="56" t="s">
        <v>1490</v>
      </c>
    </row>
    <row r="280" spans="1:37" s="56" customFormat="1" ht="30" customHeight="1" x14ac:dyDescent="0.25">
      <c r="A280" s="56">
        <v>279</v>
      </c>
      <c r="B280" s="57" t="s">
        <v>309</v>
      </c>
      <c r="C280" s="57" t="s">
        <v>601</v>
      </c>
      <c r="D280" s="56" t="s">
        <v>615</v>
      </c>
      <c r="E280" s="56" t="s">
        <v>624</v>
      </c>
      <c r="G280" s="56" t="str">
        <f>VLOOKUP(Table1[[#This Row],[Project Code]],'[6]Combined Nov''25'!$E:$I,5,FALSE)</f>
        <v>Ongoing</v>
      </c>
      <c r="H280" s="59">
        <v>45694</v>
      </c>
      <c r="I280" s="59">
        <v>46059</v>
      </c>
      <c r="J280" s="59"/>
      <c r="K280" s="69" t="s">
        <v>715</v>
      </c>
      <c r="L280" s="69" t="s">
        <v>837</v>
      </c>
      <c r="M280" s="73" t="s">
        <v>852</v>
      </c>
      <c r="N280" s="73" t="s">
        <v>915</v>
      </c>
      <c r="O280" s="69" t="s">
        <v>859</v>
      </c>
      <c r="P280" s="73" t="s">
        <v>882</v>
      </c>
      <c r="Q280" s="57" t="s">
        <v>887</v>
      </c>
      <c r="T280" s="57" t="s">
        <v>1090</v>
      </c>
      <c r="U280" s="57" t="s">
        <v>1229</v>
      </c>
      <c r="V280" s="56">
        <v>0</v>
      </c>
      <c r="W280" s="60">
        <v>8326080</v>
      </c>
      <c r="Y280" s="56" t="s">
        <v>1489</v>
      </c>
      <c r="Z280" s="56" t="s">
        <v>1490</v>
      </c>
      <c r="AA280" s="56" t="s">
        <v>1490</v>
      </c>
      <c r="AB280" s="56" t="s">
        <v>1490</v>
      </c>
      <c r="AC280" s="56" t="s">
        <v>1490</v>
      </c>
      <c r="AD280" s="56" t="s">
        <v>1490</v>
      </c>
      <c r="AE280" s="56" t="s">
        <v>1490</v>
      </c>
      <c r="AF280" s="56" t="s">
        <v>1490</v>
      </c>
      <c r="AG280" s="56" t="s">
        <v>1490</v>
      </c>
      <c r="AH280" s="56" t="s">
        <v>1490</v>
      </c>
      <c r="AI280" s="56" t="s">
        <v>1490</v>
      </c>
      <c r="AJ280" s="56" t="s">
        <v>1490</v>
      </c>
      <c r="AK280" s="56" t="s">
        <v>1490</v>
      </c>
    </row>
    <row r="281" spans="1:37" s="56" customFormat="1" ht="30" customHeight="1" x14ac:dyDescent="0.25">
      <c r="A281" s="56">
        <v>280</v>
      </c>
      <c r="B281" s="57" t="s">
        <v>310</v>
      </c>
      <c r="C281" s="57" t="s">
        <v>500</v>
      </c>
      <c r="D281" s="56" t="s">
        <v>615</v>
      </c>
      <c r="E281" s="56" t="s">
        <v>624</v>
      </c>
      <c r="G281" s="56" t="str">
        <f>VLOOKUP(Table1[[#This Row],[Project Code]],'[6]Combined Nov''25'!$E:$I,5,FALSE)</f>
        <v>Ongoing</v>
      </c>
      <c r="H281" s="59">
        <v>45694</v>
      </c>
      <c r="I281" s="59">
        <v>46059</v>
      </c>
      <c r="J281" s="59"/>
      <c r="K281" s="69" t="str">
        <f>VLOOKUP(Table1[[#This Row],[Project Code]],'[6]Combined Nov''25'!$E:$K,6,FALSE)</f>
        <v>Ministry of Housing and Urban Affairs</v>
      </c>
      <c r="L281" s="69" t="s">
        <v>696</v>
      </c>
      <c r="M281" s="73" t="s">
        <v>843</v>
      </c>
      <c r="N281" s="73" t="s">
        <v>915</v>
      </c>
      <c r="O281" s="69" t="s">
        <v>859</v>
      </c>
      <c r="P281" s="73" t="s">
        <v>864</v>
      </c>
      <c r="Q281" s="57" t="s">
        <v>887</v>
      </c>
      <c r="T281" s="57" t="s">
        <v>1091</v>
      </c>
      <c r="U281" s="57" t="s">
        <v>1230</v>
      </c>
      <c r="V281" s="56">
        <v>0</v>
      </c>
      <c r="W281" s="60">
        <v>100171357</v>
      </c>
      <c r="Y281" s="56" t="s">
        <v>1489</v>
      </c>
      <c r="Z281" s="56" t="s">
        <v>1490</v>
      </c>
      <c r="AA281" s="56" t="s">
        <v>1490</v>
      </c>
      <c r="AB281" s="56" t="s">
        <v>1490</v>
      </c>
      <c r="AC281" s="56" t="s">
        <v>1490</v>
      </c>
      <c r="AD281" s="56" t="s">
        <v>1490</v>
      </c>
      <c r="AE281" s="56" t="s">
        <v>1490</v>
      </c>
      <c r="AF281" s="56" t="s">
        <v>1490</v>
      </c>
      <c r="AG281" s="56" t="s">
        <v>1490</v>
      </c>
      <c r="AH281" s="56" t="s">
        <v>1490</v>
      </c>
      <c r="AI281" s="56" t="s">
        <v>1490</v>
      </c>
      <c r="AJ281" s="56" t="s">
        <v>1490</v>
      </c>
      <c r="AK281" s="56" t="s">
        <v>1490</v>
      </c>
    </row>
    <row r="282" spans="1:37" s="56" customFormat="1" ht="30" customHeight="1" x14ac:dyDescent="0.25">
      <c r="A282" s="56">
        <v>281</v>
      </c>
      <c r="B282" s="57" t="s">
        <v>311</v>
      </c>
      <c r="C282" s="57" t="s">
        <v>602</v>
      </c>
      <c r="D282" s="56" t="s">
        <v>618</v>
      </c>
      <c r="E282" s="56" t="s">
        <v>641</v>
      </c>
      <c r="G282" s="56" t="str">
        <f>VLOOKUP(Table1[[#This Row],[Project Code]],'[6]Combined Nov''25'!$E:$I,5,FALSE)</f>
        <v>Fully Closed</v>
      </c>
      <c r="H282" s="59">
        <v>45712</v>
      </c>
      <c r="I282" s="59">
        <v>45715</v>
      </c>
      <c r="J282" s="59"/>
      <c r="K282" s="57" t="s">
        <v>694</v>
      </c>
      <c r="L282" s="57" t="s">
        <v>823</v>
      </c>
      <c r="M282" s="56" t="s">
        <v>852</v>
      </c>
      <c r="N282" s="56" t="s">
        <v>911</v>
      </c>
      <c r="O282" s="57" t="s">
        <v>857</v>
      </c>
      <c r="P282" s="56" t="s">
        <v>876</v>
      </c>
      <c r="Q282" s="57" t="s">
        <v>887</v>
      </c>
      <c r="T282" s="57" t="s">
        <v>1050</v>
      </c>
      <c r="U282" s="57" t="s">
        <v>1226</v>
      </c>
      <c r="V282" s="56" t="s">
        <v>1057</v>
      </c>
      <c r="W282" s="60">
        <v>99200</v>
      </c>
      <c r="Y282" s="56" t="s">
        <v>1489</v>
      </c>
      <c r="Z282" s="56" t="s">
        <v>1490</v>
      </c>
      <c r="AA282" s="56" t="s">
        <v>1489</v>
      </c>
      <c r="AB282" s="56" t="s">
        <v>1489</v>
      </c>
      <c r="AC282" s="56" t="s">
        <v>1489</v>
      </c>
      <c r="AD282" s="56" t="s">
        <v>1490</v>
      </c>
      <c r="AE282" s="56" t="s">
        <v>1490</v>
      </c>
      <c r="AF282" s="56" t="s">
        <v>1490</v>
      </c>
      <c r="AG282" s="56" t="s">
        <v>1490</v>
      </c>
      <c r="AH282" s="56" t="s">
        <v>1490</v>
      </c>
      <c r="AI282" s="56" t="s">
        <v>1490</v>
      </c>
      <c r="AJ282" s="56" t="s">
        <v>1490</v>
      </c>
      <c r="AK282" s="56" t="s">
        <v>1490</v>
      </c>
    </row>
    <row r="283" spans="1:37" s="56" customFormat="1" ht="30" customHeight="1" x14ac:dyDescent="0.25">
      <c r="A283" s="56">
        <v>282</v>
      </c>
      <c r="B283" s="57" t="s">
        <v>312</v>
      </c>
      <c r="C283" s="57" t="s">
        <v>603</v>
      </c>
      <c r="D283" s="56" t="s">
        <v>619</v>
      </c>
      <c r="E283" s="56" t="s">
        <v>632</v>
      </c>
      <c r="G283" s="56" t="str">
        <f>VLOOKUP(Table1[[#This Row],[Project Code]],'[6]Combined Nov''25'!$E:$I,5,FALSE)</f>
        <v>Ongoing</v>
      </c>
      <c r="H283" s="59">
        <v>45706</v>
      </c>
      <c r="I283" s="59">
        <v>49358</v>
      </c>
      <c r="J283" s="59"/>
      <c r="K283" s="69" t="s">
        <v>1507</v>
      </c>
      <c r="L283" s="69" t="s">
        <v>841</v>
      </c>
      <c r="M283" s="73" t="s">
        <v>1506</v>
      </c>
      <c r="N283" s="73" t="s">
        <v>895</v>
      </c>
      <c r="O283" s="69" t="s">
        <v>861</v>
      </c>
      <c r="P283" s="73" t="s">
        <v>864</v>
      </c>
      <c r="Q283" s="57" t="s">
        <v>887</v>
      </c>
      <c r="T283" s="57" t="s">
        <v>1051</v>
      </c>
      <c r="U283" s="57" t="s">
        <v>1231</v>
      </c>
      <c r="V283" s="56" t="s">
        <v>1057</v>
      </c>
      <c r="W283" s="60">
        <v>0</v>
      </c>
      <c r="Y283" s="56" t="s">
        <v>1489</v>
      </c>
      <c r="Z283" s="56" t="s">
        <v>1490</v>
      </c>
      <c r="AA283" s="56" t="s">
        <v>1490</v>
      </c>
      <c r="AB283" s="56" t="s">
        <v>1490</v>
      </c>
      <c r="AC283" s="56" t="s">
        <v>1490</v>
      </c>
      <c r="AD283" s="56" t="s">
        <v>1490</v>
      </c>
      <c r="AE283" s="56" t="s">
        <v>1490</v>
      </c>
      <c r="AF283" s="56" t="s">
        <v>1490</v>
      </c>
      <c r="AG283" s="56" t="s">
        <v>1490</v>
      </c>
      <c r="AH283" s="56" t="s">
        <v>1490</v>
      </c>
      <c r="AI283" s="56" t="s">
        <v>1490</v>
      </c>
      <c r="AJ283" s="56" t="s">
        <v>1490</v>
      </c>
      <c r="AK283" s="56" t="s">
        <v>1490</v>
      </c>
    </row>
    <row r="284" spans="1:37" s="56" customFormat="1" ht="30" customHeight="1" x14ac:dyDescent="0.25">
      <c r="A284" s="56">
        <v>283</v>
      </c>
      <c r="B284" s="57" t="s">
        <v>313</v>
      </c>
      <c r="C284" s="57" t="s">
        <v>604</v>
      </c>
      <c r="D284" s="56" t="s">
        <v>616</v>
      </c>
      <c r="E284" s="56" t="s">
        <v>637</v>
      </c>
      <c r="G284" s="56" t="str">
        <f>VLOOKUP(Table1[[#This Row],[Project Code]],'[6]Combined Nov''25'!$E:$I,5,FALSE)</f>
        <v>Ongoing</v>
      </c>
      <c r="H284" s="59">
        <v>45721</v>
      </c>
      <c r="I284" s="59">
        <v>45747</v>
      </c>
      <c r="J284" s="59">
        <f>VLOOKUP(Table1[[#This Row],[Project Code]],'[6]Combined Nov''25'!$E:$O,10,FALSE)</f>
        <v>46022</v>
      </c>
      <c r="K284" s="69" t="s">
        <v>696</v>
      </c>
      <c r="L284" s="69" t="s">
        <v>696</v>
      </c>
      <c r="M284" s="73" t="s">
        <v>843</v>
      </c>
      <c r="N284" s="73" t="s">
        <v>936</v>
      </c>
      <c r="O284" s="69" t="s">
        <v>858</v>
      </c>
      <c r="P284" s="73" t="s">
        <v>864</v>
      </c>
      <c r="Q284" s="57" t="s">
        <v>888</v>
      </c>
      <c r="T284" s="57" t="s">
        <v>1052</v>
      </c>
      <c r="U284" s="57" t="s">
        <v>1232</v>
      </c>
      <c r="V284" s="56" t="s">
        <v>1057</v>
      </c>
      <c r="W284" s="60">
        <v>16129582</v>
      </c>
      <c r="Y284" s="56" t="s">
        <v>1489</v>
      </c>
      <c r="Z284" s="56" t="s">
        <v>1490</v>
      </c>
      <c r="AA284" s="56" t="s">
        <v>1490</v>
      </c>
      <c r="AB284" s="56" t="s">
        <v>1490</v>
      </c>
      <c r="AC284" s="56" t="s">
        <v>1490</v>
      </c>
      <c r="AD284" s="56" t="s">
        <v>1490</v>
      </c>
      <c r="AE284" s="56" t="s">
        <v>1490</v>
      </c>
      <c r="AF284" s="56" t="s">
        <v>1490</v>
      </c>
      <c r="AG284" s="56" t="s">
        <v>1490</v>
      </c>
      <c r="AH284" s="56" t="s">
        <v>1490</v>
      </c>
      <c r="AI284" s="56" t="s">
        <v>1490</v>
      </c>
      <c r="AJ284" s="56" t="s">
        <v>1490</v>
      </c>
      <c r="AK284" s="56" t="s">
        <v>1490</v>
      </c>
    </row>
    <row r="285" spans="1:37" s="56" customFormat="1" ht="30" customHeight="1" x14ac:dyDescent="0.25">
      <c r="A285" s="56">
        <v>284</v>
      </c>
      <c r="B285" s="57" t="s">
        <v>314</v>
      </c>
      <c r="C285" s="57" t="s">
        <v>605</v>
      </c>
      <c r="D285" s="56" t="s">
        <v>616</v>
      </c>
      <c r="E285" s="56" t="s">
        <v>661</v>
      </c>
      <c r="G285" s="56" t="str">
        <f>VLOOKUP(Table1[[#This Row],[Project Code]],'[6]Combined Nov''25'!$E:$I,5,FALSE)</f>
        <v>Ongoing</v>
      </c>
      <c r="H285" s="59">
        <v>45721</v>
      </c>
      <c r="I285" s="59">
        <v>45747</v>
      </c>
      <c r="J285" s="59"/>
      <c r="K285" s="69" t="s">
        <v>764</v>
      </c>
      <c r="L285" s="69" t="s">
        <v>780</v>
      </c>
      <c r="M285" s="73" t="s">
        <v>844</v>
      </c>
      <c r="N285" s="73" t="s">
        <v>894</v>
      </c>
      <c r="O285" s="69" t="s">
        <v>863</v>
      </c>
      <c r="P285" s="73" t="s">
        <v>867</v>
      </c>
      <c r="Q285" s="57" t="s">
        <v>887</v>
      </c>
      <c r="T285" s="57" t="s">
        <v>1053</v>
      </c>
      <c r="U285" s="57" t="s">
        <v>1233</v>
      </c>
      <c r="V285" s="56" t="s">
        <v>1057</v>
      </c>
      <c r="W285" s="60">
        <v>1036000</v>
      </c>
      <c r="Y285" s="56" t="s">
        <v>1489</v>
      </c>
      <c r="Z285" s="56" t="s">
        <v>1490</v>
      </c>
      <c r="AA285" s="56" t="s">
        <v>1490</v>
      </c>
      <c r="AB285" s="56" t="s">
        <v>1490</v>
      </c>
      <c r="AC285" s="56" t="s">
        <v>1490</v>
      </c>
      <c r="AD285" s="56" t="s">
        <v>1490</v>
      </c>
      <c r="AE285" s="56" t="s">
        <v>1490</v>
      </c>
      <c r="AF285" s="56" t="s">
        <v>1490</v>
      </c>
      <c r="AG285" s="56" t="s">
        <v>1490</v>
      </c>
      <c r="AH285" s="56" t="s">
        <v>1490</v>
      </c>
      <c r="AI285" s="56" t="s">
        <v>1490</v>
      </c>
      <c r="AJ285" s="56" t="s">
        <v>1490</v>
      </c>
      <c r="AK285" s="56" t="s">
        <v>1490</v>
      </c>
    </row>
    <row r="286" spans="1:37" s="56" customFormat="1" ht="30" customHeight="1" x14ac:dyDescent="0.25">
      <c r="A286" s="56">
        <v>285</v>
      </c>
      <c r="B286" s="57" t="s">
        <v>315</v>
      </c>
      <c r="C286" s="57" t="s">
        <v>606</v>
      </c>
      <c r="D286" s="56" t="s">
        <v>620</v>
      </c>
      <c r="E286" s="56" t="s">
        <v>662</v>
      </c>
      <c r="G286" s="56" t="str">
        <f>VLOOKUP(Table1[[#This Row],[Project Code]],'[6]Combined Nov''25'!$E:$I,5,FALSE)</f>
        <v>Ongoing</v>
      </c>
      <c r="H286" s="59">
        <v>45795</v>
      </c>
      <c r="I286" s="59">
        <v>46081</v>
      </c>
      <c r="J286" s="59"/>
      <c r="K286" s="69" t="str">
        <f>VLOOKUP(Table1[[#This Row],[Project Code]],'[6]Combined Nov''25'!$E:$K,6,FALSE)</f>
        <v>MHA</v>
      </c>
      <c r="L286" s="69" t="s">
        <v>749</v>
      </c>
      <c r="M286" s="73">
        <v>0</v>
      </c>
      <c r="N286" s="73">
        <f>VLOOKUP(Table1[[#This Row],[Project Code]],'[6]Combined Nov''25'!$E:$K,7,FALSE)</f>
        <v>0</v>
      </c>
      <c r="O286" s="69" t="s">
        <v>855</v>
      </c>
      <c r="P286" s="73" t="s">
        <v>864</v>
      </c>
      <c r="Q286" s="57" t="s">
        <v>855</v>
      </c>
      <c r="T286" s="57">
        <f>VLOOKUP(Table1[[#This Row],[Project Code]],'[6]Combined Nov''25'!$E:$P,12,FALSE)</f>
        <v>0</v>
      </c>
      <c r="U286" s="57">
        <v>0</v>
      </c>
      <c r="V286" s="56" t="s">
        <v>1057</v>
      </c>
      <c r="W286" s="60">
        <v>2150400</v>
      </c>
      <c r="Y286" s="56" t="s">
        <v>1489</v>
      </c>
      <c r="Z286" s="56" t="s">
        <v>1490</v>
      </c>
      <c r="AA286" s="56" t="s">
        <v>1490</v>
      </c>
      <c r="AB286" s="56" t="s">
        <v>1490</v>
      </c>
      <c r="AC286" s="56" t="s">
        <v>1490</v>
      </c>
      <c r="AD286" s="56" t="s">
        <v>1490</v>
      </c>
      <c r="AE286" s="56" t="s">
        <v>1490</v>
      </c>
      <c r="AF286" s="56" t="s">
        <v>1490</v>
      </c>
      <c r="AG286" s="56" t="s">
        <v>1490</v>
      </c>
      <c r="AH286" s="56" t="s">
        <v>1490</v>
      </c>
      <c r="AI286" s="56" t="s">
        <v>1490</v>
      </c>
      <c r="AJ286" s="56" t="s">
        <v>1490</v>
      </c>
      <c r="AK286" s="56" t="s">
        <v>1490</v>
      </c>
    </row>
    <row r="287" spans="1:37" s="56" customFormat="1" ht="30" customHeight="1" x14ac:dyDescent="0.25">
      <c r="A287" s="56">
        <v>286</v>
      </c>
      <c r="B287" s="57" t="s">
        <v>316</v>
      </c>
      <c r="C287" s="57" t="s">
        <v>607</v>
      </c>
      <c r="D287" s="56" t="s">
        <v>616</v>
      </c>
      <c r="E287" s="56" t="s">
        <v>628</v>
      </c>
      <c r="G287" s="56" t="str">
        <f>VLOOKUP(Table1[[#This Row],[Project Code]],'[6]Combined Nov''25'!$E:$I,5,FALSE)</f>
        <v>Ongoing</v>
      </c>
      <c r="H287" s="59">
        <v>45748</v>
      </c>
      <c r="I287" s="59">
        <v>46112</v>
      </c>
      <c r="J287" s="59"/>
      <c r="K287" s="69" t="s">
        <v>765</v>
      </c>
      <c r="L287" s="69" t="s">
        <v>765</v>
      </c>
      <c r="M287" s="73" t="s">
        <v>843</v>
      </c>
      <c r="N287" s="73" t="s">
        <v>893</v>
      </c>
      <c r="O287" s="69" t="s">
        <v>862</v>
      </c>
      <c r="P287" s="73" t="s">
        <v>864</v>
      </c>
      <c r="Q287" s="57" t="s">
        <v>888</v>
      </c>
      <c r="T287" s="57" t="s">
        <v>1092</v>
      </c>
      <c r="U287" s="57">
        <v>0</v>
      </c>
      <c r="V287" s="56" t="s">
        <v>1057</v>
      </c>
      <c r="W287" s="60">
        <v>10886400</v>
      </c>
      <c r="Y287" s="56" t="s">
        <v>1489</v>
      </c>
      <c r="Z287" s="56" t="s">
        <v>1490</v>
      </c>
      <c r="AA287" s="56" t="s">
        <v>1490</v>
      </c>
      <c r="AB287" s="56" t="s">
        <v>1490</v>
      </c>
      <c r="AC287" s="56" t="s">
        <v>1490</v>
      </c>
      <c r="AD287" s="56" t="s">
        <v>1490</v>
      </c>
      <c r="AE287" s="56" t="s">
        <v>1490</v>
      </c>
      <c r="AF287" s="56" t="s">
        <v>1490</v>
      </c>
      <c r="AG287" s="56" t="s">
        <v>1490</v>
      </c>
      <c r="AH287" s="56" t="s">
        <v>1490</v>
      </c>
      <c r="AI287" s="56" t="s">
        <v>1490</v>
      </c>
      <c r="AJ287" s="56" t="s">
        <v>1490</v>
      </c>
      <c r="AK287" s="56" t="s">
        <v>1490</v>
      </c>
    </row>
    <row r="288" spans="1:37" s="56" customFormat="1" ht="30" customHeight="1" x14ac:dyDescent="0.25">
      <c r="A288" s="56">
        <v>287</v>
      </c>
      <c r="B288" s="57" t="s">
        <v>317</v>
      </c>
      <c r="C288" s="57" t="s">
        <v>608</v>
      </c>
      <c r="D288" s="56" t="s">
        <v>618</v>
      </c>
      <c r="E288" s="56" t="s">
        <v>641</v>
      </c>
      <c r="G288" s="56" t="str">
        <f>VLOOKUP(Table1[[#This Row],[Project Code]],'[6]Combined Nov''25'!$E:$I,5,FALSE)</f>
        <v>Ongoing</v>
      </c>
      <c r="H288" s="59">
        <v>45737</v>
      </c>
      <c r="I288" s="59">
        <v>46102</v>
      </c>
      <c r="J288" s="59"/>
      <c r="K288" s="69" t="s">
        <v>1463</v>
      </c>
      <c r="L288" s="69" t="str">
        <f>VLOOKUP(Table1[[#This Row],[Project Code]],'[3]PPID List of all Projects '!$B:$H,4,FALSE)</f>
        <v>Government of Uttar Pradesh</v>
      </c>
      <c r="M288" s="73" t="s">
        <v>844</v>
      </c>
      <c r="N288" s="73" t="s">
        <v>911</v>
      </c>
      <c r="O288" s="73" t="s">
        <v>911</v>
      </c>
      <c r="P288" s="73">
        <v>0</v>
      </c>
      <c r="Q288" s="57"/>
      <c r="T288" s="57" t="s">
        <v>1093</v>
      </c>
      <c r="U288" s="57">
        <v>0</v>
      </c>
      <c r="V288" s="56" t="s">
        <v>1057</v>
      </c>
      <c r="W288" s="60">
        <v>337500</v>
      </c>
      <c r="X288" s="56" t="s">
        <v>1491</v>
      </c>
      <c r="Y288" s="56" t="s">
        <v>1489</v>
      </c>
      <c r="Z288" s="56" t="s">
        <v>1491</v>
      </c>
      <c r="AA288" s="56" t="s">
        <v>1489</v>
      </c>
      <c r="AB288" s="56" t="s">
        <v>1489</v>
      </c>
      <c r="AC288" s="56" t="s">
        <v>1491</v>
      </c>
      <c r="AD288" s="56" t="s">
        <v>1490</v>
      </c>
      <c r="AE288" s="56" t="s">
        <v>1490</v>
      </c>
      <c r="AF288" s="56" t="s">
        <v>1490</v>
      </c>
      <c r="AG288" s="56" t="s">
        <v>1490</v>
      </c>
      <c r="AH288" s="56" t="s">
        <v>1490</v>
      </c>
      <c r="AI288" s="56" t="s">
        <v>1490</v>
      </c>
      <c r="AJ288" s="56" t="s">
        <v>1490</v>
      </c>
      <c r="AK288" s="56" t="s">
        <v>1490</v>
      </c>
    </row>
    <row r="289" spans="1:37" s="56" customFormat="1" ht="30" customHeight="1" x14ac:dyDescent="0.25">
      <c r="A289" s="56">
        <v>288</v>
      </c>
      <c r="B289" s="57" t="s">
        <v>318</v>
      </c>
      <c r="C289" s="57" t="s">
        <v>609</v>
      </c>
      <c r="D289" s="56" t="s">
        <v>618</v>
      </c>
      <c r="E289" s="56" t="s">
        <v>641</v>
      </c>
      <c r="G289" s="56" t="str">
        <f>VLOOKUP(Table1[[#This Row],[Project Code]],'[6]Combined Nov''25'!$E:$I,5,FALSE)</f>
        <v>Ongoing</v>
      </c>
      <c r="H289" s="59">
        <v>45734</v>
      </c>
      <c r="I289" s="59">
        <v>46191</v>
      </c>
      <c r="J289" s="59"/>
      <c r="K289" s="69" t="s">
        <v>1465</v>
      </c>
      <c r="L289" s="69" t="str">
        <f>VLOOKUP(Table1[[#This Row],[Project Code]],'[3]PPID List of all Projects '!$B:$H,4,FALSE)</f>
        <v>Government of Uttar Pradesh</v>
      </c>
      <c r="M289" s="73" t="s">
        <v>844</v>
      </c>
      <c r="N289" s="73" t="s">
        <v>911</v>
      </c>
      <c r="O289" s="73" t="s">
        <v>911</v>
      </c>
      <c r="P289" s="73">
        <v>0</v>
      </c>
      <c r="Q289" s="57"/>
      <c r="T289" s="57" t="s">
        <v>1094</v>
      </c>
      <c r="U289" s="57">
        <v>0</v>
      </c>
      <c r="V289" s="56" t="s">
        <v>1057</v>
      </c>
      <c r="W289" s="60">
        <v>1350240</v>
      </c>
      <c r="X289" s="56" t="s">
        <v>1491</v>
      </c>
      <c r="Y289" s="56" t="s">
        <v>1491</v>
      </c>
      <c r="Z289" s="56" t="s">
        <v>1491</v>
      </c>
      <c r="AA289" s="56" t="s">
        <v>1489</v>
      </c>
      <c r="AB289" s="56" t="s">
        <v>1491</v>
      </c>
      <c r="AC289" s="56" t="s">
        <v>1491</v>
      </c>
      <c r="AD289" s="56" t="s">
        <v>1490</v>
      </c>
      <c r="AE289" s="56" t="s">
        <v>1490</v>
      </c>
      <c r="AF289" s="56" t="s">
        <v>1490</v>
      </c>
      <c r="AG289" s="56" t="s">
        <v>1490</v>
      </c>
      <c r="AH289" s="56" t="s">
        <v>1490</v>
      </c>
      <c r="AI289" s="56" t="s">
        <v>1490</v>
      </c>
      <c r="AJ289" s="56" t="s">
        <v>1490</v>
      </c>
      <c r="AK289" s="56" t="s">
        <v>1490</v>
      </c>
    </row>
    <row r="290" spans="1:37" s="56" customFormat="1" ht="30" customHeight="1" x14ac:dyDescent="0.25">
      <c r="A290" s="56">
        <v>289</v>
      </c>
      <c r="B290" s="57" t="s">
        <v>319</v>
      </c>
      <c r="C290" s="57" t="s">
        <v>610</v>
      </c>
      <c r="D290" s="56" t="s">
        <v>618</v>
      </c>
      <c r="E290" s="56" t="s">
        <v>641</v>
      </c>
      <c r="G290" s="56" t="str">
        <f>VLOOKUP(Table1[[#This Row],[Project Code]],'[6]Combined Nov''25'!$E:$I,5,FALSE)</f>
        <v>Ongoing</v>
      </c>
      <c r="H290" s="59">
        <v>45741</v>
      </c>
      <c r="I290" s="59">
        <v>46471</v>
      </c>
      <c r="J290" s="59"/>
      <c r="K290" s="69" t="s">
        <v>1467</v>
      </c>
      <c r="L290" s="69" t="str">
        <f>VLOOKUP(Table1[[#This Row],[Project Code]],'[3]PPID List of all Projects '!$B:$H,4,FALSE)</f>
        <v>Government of Uttar Pradesh</v>
      </c>
      <c r="M290" s="73" t="s">
        <v>844</v>
      </c>
      <c r="N290" s="73" t="s">
        <v>911</v>
      </c>
      <c r="O290" s="73" t="s">
        <v>911</v>
      </c>
      <c r="P290" s="73">
        <v>0</v>
      </c>
      <c r="Q290" s="57"/>
      <c r="T290" s="57" t="s">
        <v>1095</v>
      </c>
      <c r="U290" s="57">
        <v>0</v>
      </c>
      <c r="V290" s="56" t="s">
        <v>1058</v>
      </c>
      <c r="W290" s="60">
        <v>26100000</v>
      </c>
      <c r="X290" s="56" t="s">
        <v>1491</v>
      </c>
      <c r="Y290" s="56" t="s">
        <v>1489</v>
      </c>
      <c r="Z290" s="56" t="s">
        <v>1491</v>
      </c>
      <c r="AA290" s="56" t="s">
        <v>1489</v>
      </c>
      <c r="AB290" s="56" t="s">
        <v>1491</v>
      </c>
      <c r="AC290" s="56" t="s">
        <v>1491</v>
      </c>
      <c r="AD290" s="56" t="s">
        <v>1490</v>
      </c>
      <c r="AE290" s="56" t="s">
        <v>1490</v>
      </c>
      <c r="AF290" s="56" t="s">
        <v>1490</v>
      </c>
      <c r="AG290" s="56" t="s">
        <v>1490</v>
      </c>
      <c r="AH290" s="56" t="s">
        <v>1490</v>
      </c>
      <c r="AI290" s="56" t="s">
        <v>1490</v>
      </c>
      <c r="AJ290" s="56" t="s">
        <v>1490</v>
      </c>
      <c r="AK290" s="56" t="s">
        <v>1490</v>
      </c>
    </row>
    <row r="291" spans="1:37" s="56" customFormat="1" ht="30" customHeight="1" x14ac:dyDescent="0.25">
      <c r="A291" s="56">
        <v>290</v>
      </c>
      <c r="B291" s="57" t="s">
        <v>320</v>
      </c>
      <c r="C291" s="57" t="s">
        <v>611</v>
      </c>
      <c r="D291" s="56" t="s">
        <v>615</v>
      </c>
      <c r="E291" s="56" t="s">
        <v>658</v>
      </c>
      <c r="G291" s="56" t="str">
        <f>VLOOKUP(Table1[[#This Row],[Project Code]],'[6]Combined Nov''25'!$E:$I,5,FALSE)</f>
        <v>Completed</v>
      </c>
      <c r="H291" s="59">
        <v>45748</v>
      </c>
      <c r="I291" s="59">
        <v>45808</v>
      </c>
      <c r="J291" s="59" t="str">
        <f>VLOOKUP(Table1[[#This Row],[Project Code]],'[6]Combined Nov''25'!$E:$O,10,FALSE)</f>
        <v>-</v>
      </c>
      <c r="K291" s="69" t="s">
        <v>768</v>
      </c>
      <c r="L291" s="69"/>
      <c r="M291" s="73">
        <v>0</v>
      </c>
      <c r="N291" s="73" t="s">
        <v>620</v>
      </c>
      <c r="O291" s="69" t="s">
        <v>863</v>
      </c>
      <c r="P291" s="73">
        <v>0</v>
      </c>
      <c r="Q291" s="57"/>
      <c r="T291" s="57" t="s">
        <v>1054</v>
      </c>
      <c r="U291" s="57" t="s">
        <v>1234</v>
      </c>
      <c r="V291" s="56" t="s">
        <v>1057</v>
      </c>
      <c r="W291" s="60">
        <v>6624800</v>
      </c>
      <c r="Y291" s="56" t="s">
        <v>1489</v>
      </c>
      <c r="Z291" s="56" t="s">
        <v>1490</v>
      </c>
      <c r="AA291" s="56" t="s">
        <v>1490</v>
      </c>
      <c r="AB291" s="56" t="s">
        <v>1490</v>
      </c>
      <c r="AC291" s="56" t="s">
        <v>1490</v>
      </c>
      <c r="AD291" s="56" t="s">
        <v>1490</v>
      </c>
      <c r="AE291" s="56" t="s">
        <v>1490</v>
      </c>
      <c r="AF291" s="56" t="s">
        <v>1490</v>
      </c>
      <c r="AG291" s="56" t="s">
        <v>1490</v>
      </c>
      <c r="AH291" s="56" t="s">
        <v>1490</v>
      </c>
      <c r="AI291" s="56" t="s">
        <v>1490</v>
      </c>
      <c r="AJ291" s="56" t="s">
        <v>1490</v>
      </c>
      <c r="AK291" s="56" t="s">
        <v>1490</v>
      </c>
    </row>
    <row r="292" spans="1:37" s="56" customFormat="1" ht="30" customHeight="1" x14ac:dyDescent="0.25">
      <c r="A292" s="56">
        <v>291</v>
      </c>
      <c r="B292" s="57" t="s">
        <v>321</v>
      </c>
      <c r="C292" s="57" t="s">
        <v>612</v>
      </c>
      <c r="D292" s="56" t="s">
        <v>616</v>
      </c>
      <c r="E292" s="56" t="s">
        <v>625</v>
      </c>
      <c r="G292" s="56" t="str">
        <f>VLOOKUP(Table1[[#This Row],[Project Code]],'[6]Combined Nov''25'!$E:$I,5,FALSE)</f>
        <v>Completed</v>
      </c>
      <c r="H292" s="59">
        <v>45768</v>
      </c>
      <c r="I292" s="59">
        <v>45798</v>
      </c>
      <c r="J292" s="59"/>
      <c r="K292" s="69" t="s">
        <v>1469</v>
      </c>
      <c r="L292" s="69"/>
      <c r="M292" s="73">
        <v>0</v>
      </c>
      <c r="N292" s="73" t="s">
        <v>937</v>
      </c>
      <c r="O292" s="69"/>
      <c r="P292" s="73" t="s">
        <v>867</v>
      </c>
      <c r="Q292" s="57"/>
      <c r="T292" s="57" t="s">
        <v>1055</v>
      </c>
      <c r="U292" s="57" t="s">
        <v>1235</v>
      </c>
      <c r="V292" s="56" t="s">
        <v>1057</v>
      </c>
      <c r="W292" s="60">
        <v>1355932</v>
      </c>
      <c r="Y292" s="56" t="s">
        <v>1489</v>
      </c>
      <c r="Z292" s="56" t="s">
        <v>1490</v>
      </c>
      <c r="AA292" s="56" t="s">
        <v>1490</v>
      </c>
      <c r="AB292" s="56" t="s">
        <v>1490</v>
      </c>
      <c r="AC292" s="56" t="s">
        <v>1490</v>
      </c>
      <c r="AD292" s="56" t="s">
        <v>1490</v>
      </c>
      <c r="AE292" s="56" t="s">
        <v>1490</v>
      </c>
      <c r="AF292" s="56" t="s">
        <v>1490</v>
      </c>
      <c r="AG292" s="56" t="s">
        <v>1490</v>
      </c>
      <c r="AH292" s="56" t="s">
        <v>1490</v>
      </c>
      <c r="AI292" s="56" t="s">
        <v>1490</v>
      </c>
      <c r="AJ292" s="56" t="s">
        <v>1490</v>
      </c>
      <c r="AK292" s="56" t="s">
        <v>1490</v>
      </c>
    </row>
    <row r="293" spans="1:37" s="56" customFormat="1" ht="30" customHeight="1" x14ac:dyDescent="0.25">
      <c r="A293" s="56">
        <v>292</v>
      </c>
      <c r="B293" s="57" t="s">
        <v>322</v>
      </c>
      <c r="C293" s="57" t="s">
        <v>613</v>
      </c>
      <c r="D293" s="56" t="s">
        <v>622</v>
      </c>
      <c r="E293" s="56" t="s">
        <v>663</v>
      </c>
      <c r="F293" s="56" t="s">
        <v>1065</v>
      </c>
      <c r="G293" s="56" t="str">
        <f>VLOOKUP(Table1[[#This Row],[Project Code]],'[6]Combined Nov''25'!$E:$I,5,FALSE)</f>
        <v>Ongoing</v>
      </c>
      <c r="H293" s="59">
        <v>45759</v>
      </c>
      <c r="I293" s="59">
        <v>45941</v>
      </c>
      <c r="J293" s="59">
        <f>VLOOKUP(Table1[[#This Row],[Project Code]],'[6]Combined Nov''25'!$E:$O,10,FALSE)</f>
        <v>46021</v>
      </c>
      <c r="K293" s="69" t="s">
        <v>1066</v>
      </c>
      <c r="L293" s="69"/>
      <c r="M293" s="73" t="s">
        <v>844</v>
      </c>
      <c r="N293" s="73" t="s">
        <v>1067</v>
      </c>
      <c r="O293" s="73"/>
      <c r="P293" s="73" t="str">
        <f>VLOOKUP(Table1[[#This Row],[Project Code]],[4]Sheet1!$B:$D,2,FALSE)</f>
        <v>Gujarat</v>
      </c>
      <c r="Q293" s="57" t="s">
        <v>1068</v>
      </c>
      <c r="T293" s="57" t="s">
        <v>1096</v>
      </c>
      <c r="U293" s="57" t="s">
        <v>1236</v>
      </c>
      <c r="V293" s="56" t="s">
        <v>1058</v>
      </c>
      <c r="W293" s="60">
        <v>1690964</v>
      </c>
      <c r="Y293" s="56" t="s">
        <v>1489</v>
      </c>
      <c r="Z293" s="56" t="s">
        <v>1490</v>
      </c>
      <c r="AA293" s="56" t="s">
        <v>1490</v>
      </c>
      <c r="AB293" s="56" t="s">
        <v>1490</v>
      </c>
      <c r="AC293" s="56" t="s">
        <v>1490</v>
      </c>
      <c r="AD293" s="56" t="s">
        <v>1490</v>
      </c>
      <c r="AE293" s="56" t="s">
        <v>1490</v>
      </c>
      <c r="AF293" s="56" t="s">
        <v>1490</v>
      </c>
      <c r="AG293" s="56" t="s">
        <v>1490</v>
      </c>
      <c r="AH293" s="56" t="s">
        <v>1490</v>
      </c>
      <c r="AI293" s="56" t="s">
        <v>1490</v>
      </c>
      <c r="AJ293" s="56" t="s">
        <v>1490</v>
      </c>
      <c r="AK293" s="56" t="s">
        <v>1490</v>
      </c>
    </row>
    <row r="294" spans="1:37" s="56" customFormat="1" ht="30" customHeight="1" x14ac:dyDescent="0.25">
      <c r="A294" s="56">
        <v>293</v>
      </c>
      <c r="B294" s="57" t="s">
        <v>323</v>
      </c>
      <c r="C294" s="57" t="s">
        <v>614</v>
      </c>
      <c r="D294" s="56" t="s">
        <v>618</v>
      </c>
      <c r="E294" s="56" t="s">
        <v>641</v>
      </c>
      <c r="G294" s="56" t="str">
        <f>VLOOKUP(Table1[[#This Row],[Project Code]],'[6]Combined Nov''25'!$E:$I,5,FALSE)</f>
        <v>Ongoing</v>
      </c>
      <c r="H294" s="59">
        <v>45754</v>
      </c>
      <c r="I294" s="59">
        <v>46480</v>
      </c>
      <c r="J294" s="59"/>
      <c r="K294" s="69" t="s">
        <v>1463</v>
      </c>
      <c r="L294" s="69" t="str">
        <f>VLOOKUP(Table1[[#This Row],[Project Code]],'[3]PPID List of all Projects '!$B:$H,4,FALSE)</f>
        <v>Government of Uttar Pradesh</v>
      </c>
      <c r="M294" s="73" t="s">
        <v>844</v>
      </c>
      <c r="N294" s="73" t="s">
        <v>911</v>
      </c>
      <c r="O294" s="73"/>
      <c r="P294" s="73" t="str">
        <f>VLOOKUP(Table1[[#This Row],[Project Code]],[4]Sheet1!$B:$D,2,FALSE)</f>
        <v>Uttar Pradesh</v>
      </c>
      <c r="Q294" s="57" t="s">
        <v>1464</v>
      </c>
      <c r="T294" s="57" t="s">
        <v>1097</v>
      </c>
      <c r="U294" s="57">
        <v>0</v>
      </c>
      <c r="V294" s="56" t="s">
        <v>1058</v>
      </c>
      <c r="W294" s="60">
        <v>3178200</v>
      </c>
      <c r="X294" s="56" t="s">
        <v>1491</v>
      </c>
      <c r="Y294" s="56" t="s">
        <v>1489</v>
      </c>
      <c r="Z294" s="56" t="s">
        <v>1491</v>
      </c>
      <c r="AA294" s="56" t="s">
        <v>1491</v>
      </c>
      <c r="AB294" s="56" t="s">
        <v>1491</v>
      </c>
      <c r="AC294" s="56" t="s">
        <v>1491</v>
      </c>
      <c r="AD294" s="56" t="s">
        <v>1490</v>
      </c>
      <c r="AE294" s="56" t="s">
        <v>1490</v>
      </c>
      <c r="AF294" s="56" t="s">
        <v>1490</v>
      </c>
      <c r="AG294" s="56" t="s">
        <v>1490</v>
      </c>
      <c r="AH294" s="56" t="s">
        <v>1490</v>
      </c>
      <c r="AI294" s="56" t="s">
        <v>1490</v>
      </c>
      <c r="AJ294" s="56" t="s">
        <v>1490</v>
      </c>
      <c r="AK294" s="56" t="s">
        <v>1490</v>
      </c>
    </row>
    <row r="295" spans="1:37" s="56" customFormat="1" ht="30" customHeight="1" x14ac:dyDescent="0.25">
      <c r="A295" s="56">
        <v>294</v>
      </c>
      <c r="B295" s="57" t="s">
        <v>1072</v>
      </c>
      <c r="C295" s="57" t="s">
        <v>1069</v>
      </c>
      <c r="D295" s="56" t="s">
        <v>616</v>
      </c>
      <c r="E295" s="56" t="s">
        <v>636</v>
      </c>
      <c r="G295" s="56" t="str">
        <f>VLOOKUP(Table1[[#This Row],[Project Code]],'[6]Combined Nov''25'!$E:$I,5,FALSE)</f>
        <v>Fully Closed</v>
      </c>
      <c r="H295" s="59">
        <v>45775</v>
      </c>
      <c r="I295" s="59">
        <v>45836</v>
      </c>
      <c r="J295" s="59"/>
      <c r="K295" s="69" t="s">
        <v>1471</v>
      </c>
      <c r="L295" s="69"/>
      <c r="M295" s="73"/>
      <c r="N295" s="73" t="str">
        <f>VLOOKUP(Table1[[#This Row],[Project Code]],'[5]Combined '!$E:$AG,7,FALSE)</f>
        <v>Water suply</v>
      </c>
      <c r="O295" s="73"/>
      <c r="P295" s="73" t="str">
        <f>VLOOKUP(Table1[[#This Row],[Project Code]],[4]Sheet1!$B:$D,2,FALSE)</f>
        <v>Karnataka</v>
      </c>
      <c r="Q295" s="57" t="s">
        <v>1464</v>
      </c>
      <c r="T295" s="57" t="s">
        <v>1513</v>
      </c>
      <c r="U295" s="57" t="s">
        <v>1237</v>
      </c>
      <c r="V295" s="56" t="s">
        <v>1058</v>
      </c>
      <c r="W295" s="60">
        <v>1705000</v>
      </c>
      <c r="Y295" s="56" t="s">
        <v>1489</v>
      </c>
      <c r="Z295" s="56" t="s">
        <v>1490</v>
      </c>
      <c r="AA295" s="56" t="s">
        <v>1490</v>
      </c>
      <c r="AB295" s="56" t="s">
        <v>1490</v>
      </c>
      <c r="AC295" s="56" t="s">
        <v>1490</v>
      </c>
      <c r="AD295" s="56" t="s">
        <v>1490</v>
      </c>
      <c r="AE295" s="56" t="s">
        <v>1490</v>
      </c>
      <c r="AF295" s="56" t="s">
        <v>1490</v>
      </c>
      <c r="AG295" s="56" t="s">
        <v>1490</v>
      </c>
      <c r="AH295" s="56" t="s">
        <v>1490</v>
      </c>
      <c r="AI295" s="56" t="s">
        <v>1490</v>
      </c>
      <c r="AJ295" s="56" t="s">
        <v>1490</v>
      </c>
      <c r="AK295" s="56" t="s">
        <v>1490</v>
      </c>
    </row>
    <row r="296" spans="1:37" s="56" customFormat="1" ht="30" customHeight="1" x14ac:dyDescent="0.25">
      <c r="A296" s="56">
        <v>295</v>
      </c>
      <c r="B296" s="57" t="s">
        <v>1073</v>
      </c>
      <c r="C296" s="57" t="s">
        <v>1070</v>
      </c>
      <c r="D296" s="56" t="s">
        <v>620</v>
      </c>
      <c r="E296" s="56" t="s">
        <v>662</v>
      </c>
      <c r="G296" s="56" t="str">
        <f>VLOOKUP(Table1[[#This Row],[Project Code]],'[6]Combined Nov''25'!$E:$I,5,FALSE)</f>
        <v>Ongoing</v>
      </c>
      <c r="H296" s="59">
        <v>45716</v>
      </c>
      <c r="I296" s="59">
        <v>45869</v>
      </c>
      <c r="J296" s="59">
        <f>VLOOKUP(Table1[[#This Row],[Project Code]],'[6]Combined Nov''25'!$E:$O,10,FALSE)</f>
        <v>45983</v>
      </c>
      <c r="K296" s="70" t="s">
        <v>1509</v>
      </c>
      <c r="L296" s="69"/>
      <c r="M296" s="73"/>
      <c r="N296" s="73">
        <f>VLOOKUP(Table1[[#This Row],[Project Code]],'[6]Combined Nov''25'!$E:$K,7,FALSE)</f>
        <v>0</v>
      </c>
      <c r="O296" s="73"/>
      <c r="P296" s="73"/>
      <c r="Q296" s="57"/>
      <c r="T296" s="57">
        <f>VLOOKUP(Table1[[#This Row],[Project Code]],'[6]Combined Nov''25'!$E:$P,12,FALSE)</f>
        <v>0</v>
      </c>
      <c r="U296" s="57">
        <v>0</v>
      </c>
      <c r="V296" s="56" t="s">
        <v>1057</v>
      </c>
      <c r="W296" s="60">
        <v>1108800</v>
      </c>
      <c r="Y296" s="56" t="s">
        <v>1489</v>
      </c>
      <c r="Z296" s="56" t="s">
        <v>1490</v>
      </c>
      <c r="AA296" s="56" t="s">
        <v>1490</v>
      </c>
      <c r="AB296" s="56" t="s">
        <v>1490</v>
      </c>
      <c r="AC296" s="56" t="s">
        <v>1490</v>
      </c>
      <c r="AD296" s="56" t="s">
        <v>1490</v>
      </c>
      <c r="AE296" s="56" t="s">
        <v>1490</v>
      </c>
      <c r="AF296" s="56" t="s">
        <v>1490</v>
      </c>
      <c r="AG296" s="56" t="s">
        <v>1490</v>
      </c>
      <c r="AH296" s="56" t="s">
        <v>1490</v>
      </c>
      <c r="AI296" s="56" t="s">
        <v>1490</v>
      </c>
      <c r="AJ296" s="56" t="s">
        <v>1490</v>
      </c>
      <c r="AK296" s="56" t="s">
        <v>1490</v>
      </c>
    </row>
    <row r="297" spans="1:37" s="56" customFormat="1" ht="30" customHeight="1" x14ac:dyDescent="0.25">
      <c r="A297" s="56">
        <v>296</v>
      </c>
      <c r="B297" s="57" t="s">
        <v>1074</v>
      </c>
      <c r="C297" s="57" t="s">
        <v>1071</v>
      </c>
      <c r="D297" s="56" t="s">
        <v>616</v>
      </c>
      <c r="E297" s="56" t="s">
        <v>628</v>
      </c>
      <c r="G297" s="56" t="str">
        <f>VLOOKUP(Table1[[#This Row],[Project Code]],'[6]Combined Nov''25'!$E:$I,5,FALSE)</f>
        <v>Ongoing</v>
      </c>
      <c r="H297" s="59">
        <v>45748</v>
      </c>
      <c r="I297" s="59">
        <v>46112</v>
      </c>
      <c r="J297" s="59"/>
      <c r="K297" s="69" t="s">
        <v>765</v>
      </c>
      <c r="L297" s="69" t="s">
        <v>765</v>
      </c>
      <c r="M297" s="73"/>
      <c r="N297" s="73" t="s">
        <v>893</v>
      </c>
      <c r="O297" s="76"/>
      <c r="P297" s="73" t="str">
        <f>VLOOKUP(Table1[[#This Row],[Project Code]],[4]Sheet1!$B:$D,2,FALSE)</f>
        <v>Pan India</v>
      </c>
      <c r="Q297" s="57" t="s">
        <v>888</v>
      </c>
      <c r="T297" s="57" t="s">
        <v>1514</v>
      </c>
      <c r="U297" s="57" t="s">
        <v>1197</v>
      </c>
      <c r="V297" s="56" t="s">
        <v>1057</v>
      </c>
      <c r="W297" s="60">
        <v>23661100</v>
      </c>
      <c r="Y297" s="56" t="s">
        <v>1489</v>
      </c>
      <c r="Z297" s="56" t="s">
        <v>1490</v>
      </c>
      <c r="AA297" s="56" t="s">
        <v>1490</v>
      </c>
      <c r="AB297" s="56" t="s">
        <v>1490</v>
      </c>
      <c r="AC297" s="56" t="s">
        <v>1490</v>
      </c>
      <c r="AD297" s="56" t="s">
        <v>1490</v>
      </c>
      <c r="AE297" s="56" t="s">
        <v>1490</v>
      </c>
      <c r="AF297" s="56" t="s">
        <v>1490</v>
      </c>
      <c r="AG297" s="56" t="s">
        <v>1490</v>
      </c>
      <c r="AH297" s="56" t="s">
        <v>1490</v>
      </c>
      <c r="AI297" s="56" t="s">
        <v>1490</v>
      </c>
      <c r="AJ297" s="56" t="s">
        <v>1490</v>
      </c>
      <c r="AK297" s="56" t="s">
        <v>1490</v>
      </c>
    </row>
    <row r="298" spans="1:37" s="56" customFormat="1" ht="30" customHeight="1" x14ac:dyDescent="0.25">
      <c r="A298" s="56">
        <v>297</v>
      </c>
      <c r="B298" s="57" t="s">
        <v>1238</v>
      </c>
      <c r="C298" s="57" t="s">
        <v>1247</v>
      </c>
      <c r="D298" s="56" t="s">
        <v>616</v>
      </c>
      <c r="E298" s="56" t="s">
        <v>636</v>
      </c>
      <c r="G298" s="56" t="str">
        <f>VLOOKUP(Table1[[#This Row],[Project Code]],'[6]Combined Nov''25'!$E:$I,5,FALSE)</f>
        <v>Fully Closed</v>
      </c>
      <c r="H298" s="59">
        <v>45798</v>
      </c>
      <c r="I298" s="59">
        <v>45920</v>
      </c>
      <c r="J298" s="59"/>
      <c r="K298" s="69" t="s">
        <v>1471</v>
      </c>
      <c r="L298" s="69"/>
      <c r="M298" s="73"/>
      <c r="N298" s="73" t="s">
        <v>1472</v>
      </c>
      <c r="O298" s="73"/>
      <c r="P298" s="73" t="str">
        <f>VLOOKUP(Table1[[#This Row],[Project Code]],[4]Sheet1!$B:$D,2,FALSE)</f>
        <v>Madhya Pradesh</v>
      </c>
      <c r="Q298" s="57" t="s">
        <v>1464</v>
      </c>
      <c r="T298" s="57" t="s">
        <v>1515</v>
      </c>
      <c r="U298" s="57" t="s">
        <v>1533</v>
      </c>
      <c r="V298" s="56" t="s">
        <v>1058</v>
      </c>
      <c r="W298" s="60">
        <v>2150500</v>
      </c>
      <c r="Y298" s="56" t="s">
        <v>1489</v>
      </c>
      <c r="Z298" s="56" t="s">
        <v>1490</v>
      </c>
      <c r="AA298" s="56" t="s">
        <v>1490</v>
      </c>
      <c r="AB298" s="56" t="s">
        <v>1490</v>
      </c>
      <c r="AC298" s="56" t="s">
        <v>1490</v>
      </c>
      <c r="AD298" s="56" t="s">
        <v>1490</v>
      </c>
      <c r="AE298" s="56" t="s">
        <v>1490</v>
      </c>
      <c r="AF298" s="56" t="s">
        <v>1490</v>
      </c>
      <c r="AG298" s="56" t="s">
        <v>1490</v>
      </c>
      <c r="AH298" s="56" t="s">
        <v>1490</v>
      </c>
      <c r="AI298" s="56" t="s">
        <v>1490</v>
      </c>
      <c r="AJ298" s="56" t="s">
        <v>1490</v>
      </c>
      <c r="AK298" s="56" t="s">
        <v>1490</v>
      </c>
    </row>
    <row r="299" spans="1:37" s="56" customFormat="1" ht="30" customHeight="1" x14ac:dyDescent="0.25">
      <c r="A299" s="56">
        <v>298</v>
      </c>
      <c r="B299" s="57" t="s">
        <v>1239</v>
      </c>
      <c r="C299" s="57" t="s">
        <v>1248</v>
      </c>
      <c r="D299" s="56" t="s">
        <v>618</v>
      </c>
      <c r="E299" s="56" t="s">
        <v>643</v>
      </c>
      <c r="G299" s="56" t="str">
        <f>VLOOKUP(Table1[[#This Row],[Project Code]],'[6]Combined Nov''25'!$E:$I,5,FALSE)</f>
        <v>Completed</v>
      </c>
      <c r="H299" s="59">
        <v>45812</v>
      </c>
      <c r="I299" s="59">
        <v>45855</v>
      </c>
      <c r="J299" s="59"/>
      <c r="K299" s="69" t="s">
        <v>1474</v>
      </c>
      <c r="L299" s="69" t="s">
        <v>767</v>
      </c>
      <c r="M299" s="73"/>
      <c r="N299" s="73" t="s">
        <v>911</v>
      </c>
      <c r="O299" s="73"/>
      <c r="P299" s="73" t="str">
        <f>VLOOKUP(Table1[[#This Row],[Project Code]],[4]Sheet1!$B:$D,2,FALSE)</f>
        <v>Uttar Pradesh</v>
      </c>
      <c r="Q299" s="57" t="s">
        <v>1464</v>
      </c>
      <c r="T299" s="57" t="s">
        <v>1516</v>
      </c>
      <c r="U299" s="57" t="s">
        <v>1534</v>
      </c>
      <c r="V299" s="56" t="s">
        <v>1057</v>
      </c>
      <c r="W299" s="60">
        <v>278417</v>
      </c>
      <c r="Y299" s="56" t="s">
        <v>1489</v>
      </c>
      <c r="Z299" s="56" t="s">
        <v>1490</v>
      </c>
      <c r="AA299" s="56" t="s">
        <v>1490</v>
      </c>
      <c r="AB299" s="56" t="s">
        <v>1490</v>
      </c>
      <c r="AC299" s="56" t="s">
        <v>1490</v>
      </c>
      <c r="AD299" s="56" t="s">
        <v>1490</v>
      </c>
      <c r="AE299" s="56" t="s">
        <v>1490</v>
      </c>
      <c r="AF299" s="56" t="s">
        <v>1490</v>
      </c>
      <c r="AG299" s="56" t="s">
        <v>1490</v>
      </c>
      <c r="AH299" s="56" t="s">
        <v>1490</v>
      </c>
      <c r="AI299" s="56" t="s">
        <v>1490</v>
      </c>
      <c r="AJ299" s="56" t="s">
        <v>1490</v>
      </c>
      <c r="AK299" s="56" t="s">
        <v>1490</v>
      </c>
    </row>
    <row r="300" spans="1:37" s="56" customFormat="1" ht="30" customHeight="1" x14ac:dyDescent="0.25">
      <c r="A300" s="56">
        <v>299</v>
      </c>
      <c r="B300" s="57" t="s">
        <v>1240</v>
      </c>
      <c r="C300" s="57" t="s">
        <v>1249</v>
      </c>
      <c r="D300" s="56" t="s">
        <v>622</v>
      </c>
      <c r="E300" s="56" t="s">
        <v>645</v>
      </c>
      <c r="G300" s="56" t="str">
        <f>VLOOKUP(Table1[[#This Row],[Project Code]],'[6]Combined Nov''25'!$E:$I,5,FALSE)</f>
        <v>Ongoing</v>
      </c>
      <c r="H300" s="59">
        <v>45817</v>
      </c>
      <c r="I300" s="59">
        <v>45971</v>
      </c>
      <c r="J300" s="59" t="str">
        <f>VLOOKUP(Table1[[#This Row],[Project Code]],'[6]Combined Nov''25'!$E:$O,10,FALSE)</f>
        <v>NA</v>
      </c>
      <c r="K300" s="69" t="s">
        <v>1475</v>
      </c>
      <c r="L300" s="69"/>
      <c r="M300" s="73"/>
      <c r="N300" s="73" t="s">
        <v>1476</v>
      </c>
      <c r="O300" s="73"/>
      <c r="P300" s="73"/>
      <c r="Q300" s="57" t="s">
        <v>1464</v>
      </c>
      <c r="T300" s="57" t="s">
        <v>1517</v>
      </c>
      <c r="U300" s="57" t="s">
        <v>1535</v>
      </c>
      <c r="V300" s="56" t="s">
        <v>1057</v>
      </c>
      <c r="W300" s="60">
        <v>7200236</v>
      </c>
      <c r="Y300" s="56" t="s">
        <v>1489</v>
      </c>
      <c r="Z300" s="56" t="s">
        <v>1490</v>
      </c>
      <c r="AA300" s="56" t="s">
        <v>1490</v>
      </c>
      <c r="AB300" s="56" t="s">
        <v>1490</v>
      </c>
      <c r="AC300" s="56" t="s">
        <v>1490</v>
      </c>
      <c r="AD300" s="56" t="s">
        <v>1490</v>
      </c>
      <c r="AE300" s="56" t="s">
        <v>1490</v>
      </c>
      <c r="AF300" s="56" t="s">
        <v>1490</v>
      </c>
      <c r="AG300" s="56" t="s">
        <v>1490</v>
      </c>
      <c r="AH300" s="56" t="s">
        <v>1490</v>
      </c>
      <c r="AI300" s="56" t="s">
        <v>1490</v>
      </c>
      <c r="AJ300" s="56" t="s">
        <v>1490</v>
      </c>
      <c r="AK300" s="56" t="s">
        <v>1490</v>
      </c>
    </row>
    <row r="301" spans="1:37" s="56" customFormat="1" ht="30" customHeight="1" x14ac:dyDescent="0.25">
      <c r="A301" s="56">
        <v>300</v>
      </c>
      <c r="B301" s="57" t="s">
        <v>1241</v>
      </c>
      <c r="C301" s="57" t="s">
        <v>1250</v>
      </c>
      <c r="D301" s="56" t="s">
        <v>615</v>
      </c>
      <c r="E301" s="56" t="s">
        <v>624</v>
      </c>
      <c r="G301" s="56" t="str">
        <f>VLOOKUP(Table1[[#This Row],[Project Code]],'[6]Combined Nov''25'!$E:$I,5,FALSE)</f>
        <v>Ongoing</v>
      </c>
      <c r="H301" s="59">
        <v>45823</v>
      </c>
      <c r="I301" s="59">
        <v>46553</v>
      </c>
      <c r="J301" s="59"/>
      <c r="K301" s="69" t="str">
        <f>VLOOKUP(Table1[[#This Row],[Project Code]],'[6]Combined Nov''25'!$E:$K,6,FALSE)</f>
        <v>SUDA, Chhattisgarh</v>
      </c>
      <c r="L301" s="69"/>
      <c r="M301" s="73"/>
      <c r="N301" s="73" t="s">
        <v>915</v>
      </c>
      <c r="O301" s="73"/>
      <c r="P301" s="73" t="str">
        <f>VLOOKUP(Table1[[#This Row],[Project Code]],[4]Sheet1!$B:$D,2,FALSE)</f>
        <v>Chattisgarh</v>
      </c>
      <c r="Q301" s="57" t="s">
        <v>1464</v>
      </c>
      <c r="T301" s="57" t="s">
        <v>1518</v>
      </c>
      <c r="U301" s="57" t="s">
        <v>1059</v>
      </c>
      <c r="V301" s="56" t="s">
        <v>1058</v>
      </c>
      <c r="W301" s="60">
        <v>108160639</v>
      </c>
      <c r="Y301" s="56" t="s">
        <v>1489</v>
      </c>
      <c r="Z301" s="56" t="s">
        <v>1490</v>
      </c>
      <c r="AA301" s="56" t="s">
        <v>1490</v>
      </c>
      <c r="AB301" s="56" t="s">
        <v>1490</v>
      </c>
      <c r="AC301" s="56" t="s">
        <v>1490</v>
      </c>
      <c r="AD301" s="56" t="s">
        <v>1490</v>
      </c>
      <c r="AE301" s="56" t="s">
        <v>1490</v>
      </c>
      <c r="AF301" s="56" t="s">
        <v>1490</v>
      </c>
      <c r="AG301" s="56" t="s">
        <v>1490</v>
      </c>
      <c r="AH301" s="56" t="s">
        <v>1490</v>
      </c>
      <c r="AI301" s="56" t="s">
        <v>1490</v>
      </c>
      <c r="AJ301" s="56" t="s">
        <v>1490</v>
      </c>
      <c r="AK301" s="56" t="s">
        <v>1490</v>
      </c>
    </row>
    <row r="302" spans="1:37" s="56" customFormat="1" ht="30" customHeight="1" x14ac:dyDescent="0.25">
      <c r="A302" s="56">
        <v>301</v>
      </c>
      <c r="B302" s="57" t="s">
        <v>1242</v>
      </c>
      <c r="C302" s="57" t="s">
        <v>1251</v>
      </c>
      <c r="D302" s="56" t="s">
        <v>618</v>
      </c>
      <c r="E302" s="56" t="s">
        <v>641</v>
      </c>
      <c r="G302" s="56" t="str">
        <f>VLOOKUP(Table1[[#This Row],[Project Code]],'[6]Combined Nov''25'!$E:$I,5,FALSE)</f>
        <v>Ongoing</v>
      </c>
      <c r="H302" s="59">
        <v>45817</v>
      </c>
      <c r="I302" s="59">
        <v>46181</v>
      </c>
      <c r="J302" s="59"/>
      <c r="K302" s="69" t="s">
        <v>1478</v>
      </c>
      <c r="L302" s="69" t="s">
        <v>697</v>
      </c>
      <c r="M302" s="73"/>
      <c r="N302" s="73" t="s">
        <v>911</v>
      </c>
      <c r="O302" s="73"/>
      <c r="P302" s="73"/>
      <c r="Q302" s="57" t="s">
        <v>1464</v>
      </c>
      <c r="T302" s="57" t="s">
        <v>1519</v>
      </c>
      <c r="U302" s="57">
        <v>0</v>
      </c>
      <c r="V302" s="56" t="s">
        <v>1058</v>
      </c>
      <c r="W302" s="60">
        <v>1335121.1864406781</v>
      </c>
      <c r="X302" s="56" t="s">
        <v>1491</v>
      </c>
      <c r="Y302" s="56" t="s">
        <v>1489</v>
      </c>
      <c r="Z302" s="56" t="s">
        <v>1491</v>
      </c>
      <c r="AA302" s="56" t="s">
        <v>1491</v>
      </c>
      <c r="AB302" s="56" t="s">
        <v>1491</v>
      </c>
      <c r="AC302" s="56" t="s">
        <v>1491</v>
      </c>
      <c r="AD302" s="56" t="s">
        <v>1490</v>
      </c>
      <c r="AE302" s="56" t="s">
        <v>1490</v>
      </c>
      <c r="AF302" s="56" t="s">
        <v>1490</v>
      </c>
      <c r="AG302" s="56" t="s">
        <v>1490</v>
      </c>
      <c r="AH302" s="56" t="s">
        <v>1490</v>
      </c>
      <c r="AI302" s="56" t="s">
        <v>1490</v>
      </c>
      <c r="AJ302" s="56" t="s">
        <v>1490</v>
      </c>
      <c r="AK302" s="56" t="s">
        <v>1490</v>
      </c>
    </row>
    <row r="303" spans="1:37" s="56" customFormat="1" ht="30" customHeight="1" x14ac:dyDescent="0.25">
      <c r="A303" s="56">
        <v>302</v>
      </c>
      <c r="B303" s="57" t="s">
        <v>1243</v>
      </c>
      <c r="C303" s="57" t="s">
        <v>1252</v>
      </c>
      <c r="D303" s="56" t="s">
        <v>618</v>
      </c>
      <c r="E303" s="56" t="s">
        <v>641</v>
      </c>
      <c r="G303" s="56" t="str">
        <f>VLOOKUP(Table1[[#This Row],[Project Code]],'[6]Combined Nov''25'!$E:$I,5,FALSE)</f>
        <v>Ongoing</v>
      </c>
      <c r="H303" s="59">
        <v>45812</v>
      </c>
      <c r="I303" s="59">
        <v>46451</v>
      </c>
      <c r="J303" s="59"/>
      <c r="K303" s="69" t="s">
        <v>1480</v>
      </c>
      <c r="L303" s="69" t="s">
        <v>827</v>
      </c>
      <c r="M303" s="73"/>
      <c r="N303" s="73" t="s">
        <v>911</v>
      </c>
      <c r="O303" s="73"/>
      <c r="P303" s="73" t="str">
        <f>VLOOKUP(Table1[[#This Row],[Project Code]],[4]Sheet1!$B:$D,2,FALSE)</f>
        <v>Uttarakhand</v>
      </c>
      <c r="Q303" s="57" t="s">
        <v>1464</v>
      </c>
      <c r="T303" s="57" t="s">
        <v>1520</v>
      </c>
      <c r="U303" s="57">
        <v>0</v>
      </c>
      <c r="V303" s="56" t="s">
        <v>1058</v>
      </c>
      <c r="W303" s="60">
        <v>1279041.3559322036</v>
      </c>
      <c r="Y303" s="56" t="s">
        <v>1489</v>
      </c>
      <c r="Z303" s="56" t="s">
        <v>1491</v>
      </c>
      <c r="AA303" s="56" t="s">
        <v>1489</v>
      </c>
      <c r="AB303" s="56" t="s">
        <v>1491</v>
      </c>
      <c r="AC303" s="56" t="s">
        <v>1491</v>
      </c>
      <c r="AD303" s="56" t="s">
        <v>1490</v>
      </c>
      <c r="AE303" s="56" t="s">
        <v>1490</v>
      </c>
      <c r="AF303" s="56" t="s">
        <v>1490</v>
      </c>
      <c r="AG303" s="56" t="s">
        <v>1490</v>
      </c>
      <c r="AH303" s="56" t="s">
        <v>1490</v>
      </c>
      <c r="AI303" s="56" t="s">
        <v>1490</v>
      </c>
      <c r="AJ303" s="56" t="s">
        <v>1490</v>
      </c>
      <c r="AK303" s="56" t="s">
        <v>1490</v>
      </c>
    </row>
    <row r="304" spans="1:37" s="56" customFormat="1" ht="30" customHeight="1" x14ac:dyDescent="0.25">
      <c r="A304" s="56">
        <v>303</v>
      </c>
      <c r="B304" s="57" t="s">
        <v>1244</v>
      </c>
      <c r="C304" s="57" t="s">
        <v>1253</v>
      </c>
      <c r="D304" s="56" t="s">
        <v>618</v>
      </c>
      <c r="E304" s="56" t="s">
        <v>641</v>
      </c>
      <c r="G304" s="56" t="str">
        <f>VLOOKUP(Table1[[#This Row],[Project Code]],'[6]Combined Nov''25'!$E:$I,5,FALSE)</f>
        <v>Ongoing</v>
      </c>
      <c r="H304" s="59">
        <v>45843</v>
      </c>
      <c r="I304" s="59">
        <v>46269</v>
      </c>
      <c r="J304" s="59"/>
      <c r="K304" s="69" t="s">
        <v>1480</v>
      </c>
      <c r="L304" s="69" t="s">
        <v>1480</v>
      </c>
      <c r="M304" s="73"/>
      <c r="N304" s="73" t="s">
        <v>911</v>
      </c>
      <c r="O304" s="73"/>
      <c r="P304" s="73" t="str">
        <f>VLOOKUP(Table1[[#This Row],[Project Code]],[4]Sheet1!$B:$D,2,FALSE)</f>
        <v>NCT of Delhi</v>
      </c>
      <c r="Q304" s="57" t="s">
        <v>1464</v>
      </c>
      <c r="T304" s="57" t="s">
        <v>1521</v>
      </c>
      <c r="U304" s="57">
        <v>0</v>
      </c>
      <c r="V304" s="56" t="s">
        <v>1058</v>
      </c>
      <c r="W304" s="60">
        <v>3822925.42</v>
      </c>
      <c r="Y304" s="56" t="s">
        <v>1489</v>
      </c>
      <c r="Z304" s="56" t="s">
        <v>1491</v>
      </c>
      <c r="AA304" s="56" t="s">
        <v>1489</v>
      </c>
      <c r="AB304" s="56" t="s">
        <v>1491</v>
      </c>
      <c r="AC304" s="56" t="s">
        <v>1491</v>
      </c>
      <c r="AD304" s="56" t="s">
        <v>1490</v>
      </c>
      <c r="AE304" s="56" t="s">
        <v>1490</v>
      </c>
      <c r="AF304" s="56" t="s">
        <v>1490</v>
      </c>
      <c r="AG304" s="56" t="s">
        <v>1490</v>
      </c>
      <c r="AH304" s="56" t="s">
        <v>1490</v>
      </c>
      <c r="AI304" s="56" t="s">
        <v>1490</v>
      </c>
      <c r="AJ304" s="56" t="s">
        <v>1490</v>
      </c>
      <c r="AK304" s="56" t="s">
        <v>1490</v>
      </c>
    </row>
    <row r="305" spans="1:37" s="56" customFormat="1" ht="30" customHeight="1" x14ac:dyDescent="0.25">
      <c r="A305" s="56">
        <v>304</v>
      </c>
      <c r="B305" s="57" t="s">
        <v>1245</v>
      </c>
      <c r="C305" s="57" t="s">
        <v>1254</v>
      </c>
      <c r="D305" s="56" t="s">
        <v>617</v>
      </c>
      <c r="E305" s="56" t="s">
        <v>627</v>
      </c>
      <c r="G305" s="56" t="str">
        <f>VLOOKUP(Table1[[#This Row],[Project Code]],'[6]Combined Nov''25'!$E:$I,5,FALSE)</f>
        <v>Completed</v>
      </c>
      <c r="H305" s="59">
        <v>45833</v>
      </c>
      <c r="I305" s="59">
        <v>45881</v>
      </c>
      <c r="J305" s="59"/>
      <c r="K305" s="69" t="str">
        <f>VLOOKUP(Table1[[#This Row],[Project Code]],'[6]Combined Nov''25'!$E:$K,6,FALSE)</f>
        <v>Ministry of Labour &amp; Employment</v>
      </c>
      <c r="L305" s="79" t="s">
        <v>839</v>
      </c>
      <c r="M305" s="73"/>
      <c r="N305" s="73" t="s">
        <v>892</v>
      </c>
      <c r="O305" s="73"/>
      <c r="P305" s="73"/>
      <c r="Q305" s="57" t="s">
        <v>1464</v>
      </c>
      <c r="T305" s="57" t="s">
        <v>1047</v>
      </c>
      <c r="U305" s="57" t="s">
        <v>1536</v>
      </c>
      <c r="V305" s="56" t="s">
        <v>1057</v>
      </c>
      <c r="W305" s="60">
        <v>680624</v>
      </c>
      <c r="Y305" s="56" t="s">
        <v>1489</v>
      </c>
      <c r="Z305" s="56" t="s">
        <v>1490</v>
      </c>
      <c r="AA305" s="56" t="s">
        <v>1490</v>
      </c>
      <c r="AB305" s="56" t="s">
        <v>1490</v>
      </c>
      <c r="AC305" s="56" t="s">
        <v>1490</v>
      </c>
      <c r="AD305" s="56" t="s">
        <v>1490</v>
      </c>
      <c r="AE305" s="56" t="s">
        <v>1490</v>
      </c>
      <c r="AF305" s="56" t="s">
        <v>1490</v>
      </c>
      <c r="AG305" s="56" t="s">
        <v>1490</v>
      </c>
      <c r="AH305" s="56" t="s">
        <v>1490</v>
      </c>
      <c r="AI305" s="56" t="s">
        <v>1490</v>
      </c>
      <c r="AJ305" s="56" t="s">
        <v>1490</v>
      </c>
      <c r="AK305" s="56" t="s">
        <v>1490</v>
      </c>
    </row>
    <row r="306" spans="1:37" s="56" customFormat="1" ht="30" customHeight="1" x14ac:dyDescent="0.25">
      <c r="A306" s="56">
        <v>305</v>
      </c>
      <c r="B306" s="57" t="s">
        <v>1246</v>
      </c>
      <c r="C306" s="57" t="s">
        <v>1255</v>
      </c>
      <c r="D306" s="56" t="s">
        <v>616</v>
      </c>
      <c r="E306" s="56" t="s">
        <v>628</v>
      </c>
      <c r="G306" s="56" t="str">
        <f>VLOOKUP(Table1[[#This Row],[Project Code]],'[6]Combined Nov''25'!$E:$I,5,FALSE)</f>
        <v>Ongoing</v>
      </c>
      <c r="H306" s="59">
        <v>45842</v>
      </c>
      <c r="I306" s="59">
        <v>45903</v>
      </c>
      <c r="J306" s="59"/>
      <c r="K306" s="69" t="s">
        <v>794</v>
      </c>
      <c r="L306" s="69" t="str">
        <f>VLOOKUP(Table1[[#This Row],[Project Code]],[4]Sheet1!$B:$D,3,FALSE)</f>
        <v>Ministry of Tribal Affairs</v>
      </c>
      <c r="M306" s="73"/>
      <c r="N306" s="73" t="s">
        <v>1510</v>
      </c>
      <c r="O306" s="73"/>
      <c r="P306" s="73"/>
      <c r="Q306" s="57" t="s">
        <v>888</v>
      </c>
      <c r="T306" s="57" t="s">
        <v>1522</v>
      </c>
      <c r="U306" s="57" t="s">
        <v>1537</v>
      </c>
      <c r="V306" s="56" t="s">
        <v>1058</v>
      </c>
      <c r="W306" s="60">
        <v>2918720.338983051</v>
      </c>
      <c r="Y306" s="56" t="s">
        <v>1489</v>
      </c>
      <c r="Z306" s="56" t="s">
        <v>1490</v>
      </c>
      <c r="AA306" s="56" t="s">
        <v>1490</v>
      </c>
      <c r="AB306" s="56" t="s">
        <v>1490</v>
      </c>
      <c r="AC306" s="56" t="s">
        <v>1490</v>
      </c>
      <c r="AD306" s="56" t="s">
        <v>1490</v>
      </c>
      <c r="AE306" s="56" t="s">
        <v>1490</v>
      </c>
      <c r="AF306" s="56" t="s">
        <v>1490</v>
      </c>
      <c r="AG306" s="56" t="s">
        <v>1490</v>
      </c>
      <c r="AH306" s="56" t="s">
        <v>1490</v>
      </c>
      <c r="AI306" s="56" t="s">
        <v>1490</v>
      </c>
      <c r="AJ306" s="56" t="s">
        <v>1490</v>
      </c>
      <c r="AK306" s="56" t="s">
        <v>1490</v>
      </c>
    </row>
    <row r="307" spans="1:37" s="56" customFormat="1" ht="30" customHeight="1" x14ac:dyDescent="0.25">
      <c r="A307" s="56">
        <v>306</v>
      </c>
      <c r="B307" s="57" t="s">
        <v>1256</v>
      </c>
      <c r="C307" s="57" t="s">
        <v>1268</v>
      </c>
      <c r="D307" s="56" t="s">
        <v>616</v>
      </c>
      <c r="E307" s="56" t="s">
        <v>628</v>
      </c>
      <c r="G307" s="56" t="str">
        <f>VLOOKUP(Table1[[#This Row],[Project Code]],'[6]Combined Nov''25'!$E:$I,5,FALSE)</f>
        <v>Ongoing</v>
      </c>
      <c r="H307" s="59">
        <v>45862</v>
      </c>
      <c r="I307" s="59">
        <v>45953</v>
      </c>
      <c r="J307" s="59"/>
      <c r="K307" s="69" t="s">
        <v>765</v>
      </c>
      <c r="L307" s="69" t="str">
        <f>VLOOKUP(Table1[[#This Row],[Project Code]],[4]Sheet1!$B:$D,3,FALSE)</f>
        <v>Ministry of Culture</v>
      </c>
      <c r="M307" s="73"/>
      <c r="N307" s="73" t="s">
        <v>893</v>
      </c>
      <c r="O307" s="73"/>
      <c r="P307" s="73"/>
      <c r="Q307" s="57" t="s">
        <v>888</v>
      </c>
      <c r="T307" s="57" t="s">
        <v>1523</v>
      </c>
      <c r="U307" s="57">
        <v>0</v>
      </c>
      <c r="V307" s="56" t="s">
        <v>1057</v>
      </c>
      <c r="W307" s="60">
        <v>14533635</v>
      </c>
      <c r="Y307" s="56" t="s">
        <v>1489</v>
      </c>
      <c r="Z307" s="56" t="s">
        <v>1490</v>
      </c>
      <c r="AA307" s="56" t="s">
        <v>1490</v>
      </c>
      <c r="AB307" s="56" t="s">
        <v>1490</v>
      </c>
      <c r="AC307" s="56" t="s">
        <v>1490</v>
      </c>
      <c r="AD307" s="56" t="s">
        <v>1490</v>
      </c>
      <c r="AE307" s="56" t="s">
        <v>1490</v>
      </c>
      <c r="AF307" s="56" t="s">
        <v>1490</v>
      </c>
      <c r="AG307" s="56" t="s">
        <v>1490</v>
      </c>
      <c r="AH307" s="56" t="s">
        <v>1490</v>
      </c>
      <c r="AI307" s="56" t="s">
        <v>1490</v>
      </c>
      <c r="AJ307" s="56" t="s">
        <v>1490</v>
      </c>
      <c r="AK307" s="56" t="s">
        <v>1490</v>
      </c>
    </row>
    <row r="308" spans="1:37" s="56" customFormat="1" ht="30" customHeight="1" x14ac:dyDescent="0.25">
      <c r="A308" s="56">
        <v>307</v>
      </c>
      <c r="B308" s="57" t="s">
        <v>1257</v>
      </c>
      <c r="C308" s="57" t="s">
        <v>1269</v>
      </c>
      <c r="D308" s="56" t="s">
        <v>618</v>
      </c>
      <c r="E308" s="56" t="s">
        <v>641</v>
      </c>
      <c r="G308" s="56" t="str">
        <f>VLOOKUP(Table1[[#This Row],[Project Code]],'[6]Combined Nov''25'!$E:$I,5,FALSE)</f>
        <v>Ongoing</v>
      </c>
      <c r="H308" s="59">
        <v>45866</v>
      </c>
      <c r="I308" s="59">
        <v>46230</v>
      </c>
      <c r="J308" s="59"/>
      <c r="K308" s="69" t="s">
        <v>697</v>
      </c>
      <c r="L308" s="69" t="str">
        <f>VLOOKUP(Table1[[#This Row],[Project Code]],[4]Sheet1!$B:$D,3,FALSE)</f>
        <v>Ministry of Women and Child Development</v>
      </c>
      <c r="M308" s="73"/>
      <c r="N308" s="73" t="s">
        <v>911</v>
      </c>
      <c r="O308" s="73"/>
      <c r="P308" s="73"/>
      <c r="Q308" s="57" t="s">
        <v>1464</v>
      </c>
      <c r="T308" s="57" t="s">
        <v>1524</v>
      </c>
      <c r="U308" s="57">
        <v>0</v>
      </c>
      <c r="V308" s="56" t="s">
        <v>1058</v>
      </c>
      <c r="W308" s="60">
        <v>2105490.677966102</v>
      </c>
      <c r="Y308" s="56" t="s">
        <v>1489</v>
      </c>
      <c r="Z308" s="56" t="s">
        <v>1491</v>
      </c>
      <c r="AA308" s="56" t="s">
        <v>1489</v>
      </c>
      <c r="AB308" s="56" t="s">
        <v>1491</v>
      </c>
      <c r="AC308" s="56" t="s">
        <v>1491</v>
      </c>
      <c r="AD308" s="56" t="s">
        <v>1490</v>
      </c>
      <c r="AE308" s="56" t="s">
        <v>1490</v>
      </c>
      <c r="AF308" s="56" t="s">
        <v>1490</v>
      </c>
      <c r="AG308" s="56" t="s">
        <v>1490</v>
      </c>
      <c r="AH308" s="56" t="s">
        <v>1490</v>
      </c>
      <c r="AI308" s="56" t="s">
        <v>1490</v>
      </c>
      <c r="AJ308" s="56" t="s">
        <v>1490</v>
      </c>
      <c r="AK308" s="56" t="s">
        <v>1490</v>
      </c>
    </row>
    <row r="309" spans="1:37" s="56" customFormat="1" ht="30" customHeight="1" x14ac:dyDescent="0.25">
      <c r="A309" s="56">
        <v>308</v>
      </c>
      <c r="B309" s="57" t="s">
        <v>1258</v>
      </c>
      <c r="C309" s="57" t="s">
        <v>1270</v>
      </c>
      <c r="D309" s="56" t="s">
        <v>616</v>
      </c>
      <c r="E309" s="56" t="s">
        <v>661</v>
      </c>
      <c r="G309" s="56" t="str">
        <f>VLOOKUP(Table1[[#This Row],[Project Code]],'[6]Combined Nov''25'!$E:$I,5,FALSE)</f>
        <v>Completed</v>
      </c>
      <c r="H309" s="59">
        <v>45870</v>
      </c>
      <c r="I309" s="59">
        <v>45931</v>
      </c>
      <c r="J309" s="59"/>
      <c r="K309" s="69" t="s">
        <v>785</v>
      </c>
      <c r="L309" s="69" t="str">
        <f>VLOOKUP(Table1[[#This Row],[Project Code]],[4]Sheet1!$B:$D,3,FALSE)</f>
        <v>Ministry of Tourism</v>
      </c>
      <c r="M309" s="73"/>
      <c r="N309" s="73" t="s">
        <v>894</v>
      </c>
      <c r="O309" s="73"/>
      <c r="P309" s="73"/>
      <c r="Q309" s="57" t="s">
        <v>1464</v>
      </c>
      <c r="T309" s="57" t="s">
        <v>1525</v>
      </c>
      <c r="U309" s="57" t="s">
        <v>1538</v>
      </c>
      <c r="V309" s="56" t="s">
        <v>1057</v>
      </c>
      <c r="W309" s="60">
        <v>4414880</v>
      </c>
      <c r="Y309" s="56" t="s">
        <v>1489</v>
      </c>
      <c r="Z309" s="56" t="s">
        <v>1490</v>
      </c>
      <c r="AA309" s="56" t="s">
        <v>1490</v>
      </c>
      <c r="AB309" s="56" t="s">
        <v>1490</v>
      </c>
      <c r="AC309" s="56" t="s">
        <v>1490</v>
      </c>
      <c r="AD309" s="56" t="s">
        <v>1490</v>
      </c>
      <c r="AE309" s="56" t="s">
        <v>1490</v>
      </c>
      <c r="AF309" s="56" t="s">
        <v>1490</v>
      </c>
      <c r="AG309" s="56" t="s">
        <v>1490</v>
      </c>
      <c r="AH309" s="56" t="s">
        <v>1490</v>
      </c>
      <c r="AI309" s="56" t="s">
        <v>1490</v>
      </c>
      <c r="AJ309" s="56" t="s">
        <v>1490</v>
      </c>
      <c r="AK309" s="56" t="s">
        <v>1490</v>
      </c>
    </row>
    <row r="310" spans="1:37" s="56" customFormat="1" ht="30" customHeight="1" x14ac:dyDescent="0.25">
      <c r="A310" s="56">
        <v>309</v>
      </c>
      <c r="B310" s="57" t="s">
        <v>1259</v>
      </c>
      <c r="C310" s="57" t="s">
        <v>1271</v>
      </c>
      <c r="D310" s="56" t="s">
        <v>617</v>
      </c>
      <c r="E310" s="56" t="s">
        <v>1282</v>
      </c>
      <c r="G310" s="56" t="str">
        <f>VLOOKUP(Table1[[#This Row],[Project Code]],'[6]Combined Nov''25'!$E:$I,5,FALSE)</f>
        <v>Ongoing</v>
      </c>
      <c r="H310" s="59">
        <v>45833</v>
      </c>
      <c r="I310" s="59"/>
      <c r="J310" s="59" t="str">
        <f>VLOOKUP(Table1[[#This Row],[Project Code]],'[6]Combined Nov''25'!$E:$O,10,FALSE)</f>
        <v>NA</v>
      </c>
      <c r="K310" s="69" t="s">
        <v>1546</v>
      </c>
      <c r="L310" s="69"/>
      <c r="M310" s="73"/>
      <c r="N310" s="73" t="s">
        <v>1511</v>
      </c>
      <c r="O310" s="73"/>
      <c r="P310" s="73"/>
      <c r="Q310" s="57"/>
      <c r="T310" s="57" t="s">
        <v>1526</v>
      </c>
      <c r="U310" s="57">
        <v>0</v>
      </c>
      <c r="V310" s="56" t="s">
        <v>1057</v>
      </c>
      <c r="W310" s="60">
        <v>48662512</v>
      </c>
      <c r="Y310" s="56" t="s">
        <v>1489</v>
      </c>
      <c r="Z310" s="56" t="s">
        <v>1490</v>
      </c>
      <c r="AA310" s="56" t="s">
        <v>1490</v>
      </c>
      <c r="AB310" s="56" t="s">
        <v>1490</v>
      </c>
      <c r="AC310" s="56" t="s">
        <v>1490</v>
      </c>
      <c r="AD310" s="56" t="s">
        <v>1490</v>
      </c>
      <c r="AE310" s="56" t="s">
        <v>1490</v>
      </c>
      <c r="AF310" s="56" t="s">
        <v>1490</v>
      </c>
      <c r="AG310" s="56" t="s">
        <v>1490</v>
      </c>
      <c r="AH310" s="56" t="s">
        <v>1490</v>
      </c>
      <c r="AI310" s="56" t="s">
        <v>1490</v>
      </c>
      <c r="AJ310" s="56" t="s">
        <v>1490</v>
      </c>
      <c r="AK310" s="56" t="s">
        <v>1490</v>
      </c>
    </row>
    <row r="311" spans="1:37" s="56" customFormat="1" ht="30" customHeight="1" x14ac:dyDescent="0.25">
      <c r="A311" s="56">
        <v>310</v>
      </c>
      <c r="B311" s="57" t="s">
        <v>1260</v>
      </c>
      <c r="C311" s="57" t="s">
        <v>1272</v>
      </c>
      <c r="D311" s="56" t="s">
        <v>617</v>
      </c>
      <c r="E311" s="56" t="s">
        <v>627</v>
      </c>
      <c r="G311" s="56" t="str">
        <f>VLOOKUP(Table1[[#This Row],[Project Code]],'[6]Combined Nov''25'!$E:$I,5,FALSE)</f>
        <v>Ongoing</v>
      </c>
      <c r="H311" s="59">
        <v>45880</v>
      </c>
      <c r="I311" s="59">
        <v>46066</v>
      </c>
      <c r="J311" s="59" t="str">
        <f>VLOOKUP(Table1[[#This Row],[Project Code]],'[6]Combined Nov''25'!$E:$O,10,FALSE)</f>
        <v>NA</v>
      </c>
      <c r="K311" s="69" t="s">
        <v>1484</v>
      </c>
      <c r="L311" s="69"/>
      <c r="M311" s="73"/>
      <c r="N311" s="73" t="s">
        <v>892</v>
      </c>
      <c r="O311" s="73"/>
      <c r="P311" s="73"/>
      <c r="Q311" s="57" t="s">
        <v>1464</v>
      </c>
      <c r="T311" s="57" t="s">
        <v>1527</v>
      </c>
      <c r="U311" s="57" t="s">
        <v>1539</v>
      </c>
      <c r="V311" s="56" t="s">
        <v>1058</v>
      </c>
      <c r="W311" s="60">
        <v>4182864</v>
      </c>
      <c r="Y311" s="56" t="s">
        <v>1489</v>
      </c>
      <c r="Z311" s="56" t="s">
        <v>1490</v>
      </c>
      <c r="AA311" s="56" t="s">
        <v>1490</v>
      </c>
      <c r="AB311" s="56" t="s">
        <v>1490</v>
      </c>
      <c r="AC311" s="56" t="s">
        <v>1490</v>
      </c>
      <c r="AD311" s="56" t="s">
        <v>1490</v>
      </c>
      <c r="AE311" s="56" t="s">
        <v>1490</v>
      </c>
      <c r="AF311" s="56" t="s">
        <v>1490</v>
      </c>
      <c r="AG311" s="56" t="s">
        <v>1490</v>
      </c>
      <c r="AH311" s="56" t="s">
        <v>1490</v>
      </c>
      <c r="AI311" s="56" t="s">
        <v>1490</v>
      </c>
      <c r="AJ311" s="56" t="s">
        <v>1490</v>
      </c>
      <c r="AK311" s="56" t="s">
        <v>1490</v>
      </c>
    </row>
    <row r="312" spans="1:37" s="56" customFormat="1" ht="30" customHeight="1" x14ac:dyDescent="0.25">
      <c r="A312" s="56">
        <v>311</v>
      </c>
      <c r="B312" s="57" t="s">
        <v>1261</v>
      </c>
      <c r="C312" s="57" t="s">
        <v>1273</v>
      </c>
      <c r="D312" s="56" t="s">
        <v>617</v>
      </c>
      <c r="E312" s="56" t="s">
        <v>627</v>
      </c>
      <c r="G312" s="56" t="str">
        <f>VLOOKUP(Table1[[#This Row],[Project Code]],'[6]Combined Nov''25'!$E:$I,5,FALSE)</f>
        <v>Ongoing</v>
      </c>
      <c r="H312" s="59">
        <v>45887</v>
      </c>
      <c r="I312" s="59">
        <v>46145</v>
      </c>
      <c r="J312" s="59" t="str">
        <f>VLOOKUP(Table1[[#This Row],[Project Code]],'[6]Combined Nov''25'!$E:$O,10,FALSE)</f>
        <v>NA</v>
      </c>
      <c r="K312" s="69" t="s">
        <v>1485</v>
      </c>
      <c r="L312" s="69" t="str">
        <f>VLOOKUP(Table1[[#This Row],[Project Code]],[4]Sheet1!$B:$D,3,FALSE)</f>
        <v>Ministry of Ayush</v>
      </c>
      <c r="M312" s="73"/>
      <c r="N312" s="73" t="s">
        <v>892</v>
      </c>
      <c r="O312" s="73"/>
      <c r="P312" s="73"/>
      <c r="Q312" s="57" t="s">
        <v>1464</v>
      </c>
      <c r="T312" s="57" t="s">
        <v>1528</v>
      </c>
      <c r="U312" s="57" t="s">
        <v>1540</v>
      </c>
      <c r="V312" s="56" t="s">
        <v>1058</v>
      </c>
      <c r="W312" s="60">
        <v>12938464</v>
      </c>
      <c r="Y312" s="56" t="s">
        <v>1489</v>
      </c>
      <c r="Z312" s="56" t="s">
        <v>1490</v>
      </c>
      <c r="AA312" s="56" t="s">
        <v>1490</v>
      </c>
      <c r="AB312" s="56" t="s">
        <v>1490</v>
      </c>
      <c r="AC312" s="56" t="s">
        <v>1490</v>
      </c>
      <c r="AD312" s="56" t="s">
        <v>1490</v>
      </c>
      <c r="AE312" s="56" t="s">
        <v>1490</v>
      </c>
      <c r="AF312" s="56" t="s">
        <v>1490</v>
      </c>
      <c r="AG312" s="56" t="s">
        <v>1490</v>
      </c>
      <c r="AH312" s="56" t="s">
        <v>1490</v>
      </c>
      <c r="AI312" s="56" t="s">
        <v>1490</v>
      </c>
      <c r="AJ312" s="56" t="s">
        <v>1490</v>
      </c>
      <c r="AK312" s="56" t="s">
        <v>1490</v>
      </c>
    </row>
    <row r="313" spans="1:37" s="56" customFormat="1" ht="30" customHeight="1" x14ac:dyDescent="0.25">
      <c r="A313" s="56">
        <v>312</v>
      </c>
      <c r="B313" s="57" t="s">
        <v>1262</v>
      </c>
      <c r="C313" s="57" t="s">
        <v>1274</v>
      </c>
      <c r="D313" s="56" t="s">
        <v>622</v>
      </c>
      <c r="E313" s="56" t="s">
        <v>645</v>
      </c>
      <c r="G313" s="56" t="str">
        <f>VLOOKUP(Table1[[#This Row],[Project Code]],'[6]Combined Nov''25'!$E:$I,5,FALSE)</f>
        <v>Ongoing</v>
      </c>
      <c r="H313" s="59">
        <v>45888</v>
      </c>
      <c r="I313" s="59">
        <v>45645</v>
      </c>
      <c r="J313" s="59" t="str">
        <f>VLOOKUP(Table1[[#This Row],[Project Code]],'[6]Combined Nov''25'!$E:$O,10,FALSE)</f>
        <v>NA</v>
      </c>
      <c r="K313" s="69" t="s">
        <v>1475</v>
      </c>
      <c r="L313" s="69"/>
      <c r="M313" s="73"/>
      <c r="N313" s="73" t="s">
        <v>1512</v>
      </c>
      <c r="O313" s="73"/>
      <c r="P313" s="73"/>
      <c r="Q313" s="57" t="s">
        <v>1464</v>
      </c>
      <c r="T313" s="57" t="s">
        <v>1529</v>
      </c>
      <c r="U313" s="57" t="s">
        <v>1535</v>
      </c>
      <c r="V313" s="56" t="s">
        <v>1057</v>
      </c>
      <c r="W313" s="60">
        <v>12348060</v>
      </c>
      <c r="Y313" s="56" t="s">
        <v>1489</v>
      </c>
      <c r="Z313" s="56" t="s">
        <v>1490</v>
      </c>
      <c r="AA313" s="56" t="s">
        <v>1490</v>
      </c>
      <c r="AB313" s="56" t="s">
        <v>1490</v>
      </c>
      <c r="AC313" s="56" t="s">
        <v>1490</v>
      </c>
      <c r="AD313" s="56" t="s">
        <v>1490</v>
      </c>
      <c r="AE313" s="56" t="s">
        <v>1490</v>
      </c>
      <c r="AF313" s="56" t="s">
        <v>1490</v>
      </c>
      <c r="AG313" s="56" t="s">
        <v>1490</v>
      </c>
      <c r="AH313" s="56" t="s">
        <v>1490</v>
      </c>
      <c r="AI313" s="56" t="s">
        <v>1490</v>
      </c>
      <c r="AJ313" s="56" t="s">
        <v>1490</v>
      </c>
      <c r="AK313" s="56" t="s">
        <v>1490</v>
      </c>
    </row>
    <row r="314" spans="1:37" s="56" customFormat="1" ht="30" customHeight="1" x14ac:dyDescent="0.25">
      <c r="A314" s="56">
        <v>313</v>
      </c>
      <c r="B314" s="57" t="s">
        <v>1263</v>
      </c>
      <c r="C314" s="57" t="s">
        <v>1275</v>
      </c>
      <c r="D314" s="56" t="s">
        <v>618</v>
      </c>
      <c r="E314" s="56" t="s">
        <v>641</v>
      </c>
      <c r="G314" s="56" t="str">
        <f>VLOOKUP(Table1[[#This Row],[Project Code]],'[6]Combined Nov''25'!$E:$I,5,FALSE)</f>
        <v>Ongoing</v>
      </c>
      <c r="H314" s="59">
        <v>45875</v>
      </c>
      <c r="I314" s="59">
        <v>46605</v>
      </c>
      <c r="J314" s="59"/>
      <c r="K314" s="69" t="s">
        <v>1480</v>
      </c>
      <c r="L314" s="69"/>
      <c r="M314" s="73"/>
      <c r="N314" s="73" t="s">
        <v>911</v>
      </c>
      <c r="O314" s="73"/>
      <c r="P314" s="73"/>
      <c r="Q314" s="57" t="s">
        <v>1464</v>
      </c>
      <c r="T314" s="57" t="s">
        <v>1524</v>
      </c>
      <c r="U314" s="57">
        <v>0</v>
      </c>
      <c r="V314" s="56" t="s">
        <v>1058</v>
      </c>
      <c r="W314" s="60">
        <v>6912480.9576271195</v>
      </c>
      <c r="Y314" s="56" t="s">
        <v>1489</v>
      </c>
      <c r="Z314" s="56" t="s">
        <v>1490</v>
      </c>
      <c r="AA314" s="56" t="s">
        <v>1489</v>
      </c>
      <c r="AB314" s="56" t="s">
        <v>1489</v>
      </c>
      <c r="AC314" s="56" t="s">
        <v>1489</v>
      </c>
      <c r="AD314" s="56" t="s">
        <v>1490</v>
      </c>
      <c r="AE314" s="56" t="s">
        <v>1490</v>
      </c>
      <c r="AF314" s="56" t="s">
        <v>1490</v>
      </c>
      <c r="AG314" s="56" t="s">
        <v>1490</v>
      </c>
      <c r="AH314" s="56" t="s">
        <v>1490</v>
      </c>
      <c r="AI314" s="56" t="s">
        <v>1490</v>
      </c>
      <c r="AJ314" s="56" t="s">
        <v>1490</v>
      </c>
      <c r="AK314" s="56" t="s">
        <v>1490</v>
      </c>
    </row>
    <row r="315" spans="1:37" s="56" customFormat="1" ht="30" customHeight="1" x14ac:dyDescent="0.25">
      <c r="A315" s="56">
        <v>314</v>
      </c>
      <c r="B315" s="57" t="s">
        <v>1264</v>
      </c>
      <c r="C315" s="57" t="s">
        <v>1276</v>
      </c>
      <c r="D315" s="56" t="s">
        <v>618</v>
      </c>
      <c r="E315" s="56" t="s">
        <v>641</v>
      </c>
      <c r="G315" s="56" t="str">
        <f>VLOOKUP(Table1[[#This Row],[Project Code]],'[6]Combined Nov''25'!$E:$I,5,FALSE)</f>
        <v>Ongoing</v>
      </c>
      <c r="H315" s="59">
        <v>45875</v>
      </c>
      <c r="I315" s="59">
        <v>46605</v>
      </c>
      <c r="J315" s="59"/>
      <c r="K315" s="69" t="s">
        <v>1480</v>
      </c>
      <c r="L315" s="69"/>
      <c r="M315" s="73"/>
      <c r="N315" s="73" t="s">
        <v>911</v>
      </c>
      <c r="O315" s="73"/>
      <c r="P315" s="73"/>
      <c r="Q315" s="57" t="s">
        <v>1464</v>
      </c>
      <c r="T315" s="57" t="s">
        <v>1524</v>
      </c>
      <c r="U315" s="57">
        <v>0</v>
      </c>
      <c r="V315" s="56" t="s">
        <v>1058</v>
      </c>
      <c r="W315" s="60">
        <v>6912480.9576271195</v>
      </c>
      <c r="Y315" s="56" t="s">
        <v>1489</v>
      </c>
      <c r="Z315" s="56" t="s">
        <v>1490</v>
      </c>
      <c r="AA315" s="56" t="s">
        <v>1489</v>
      </c>
      <c r="AB315" s="56" t="s">
        <v>1491</v>
      </c>
      <c r="AC315" s="56" t="s">
        <v>1489</v>
      </c>
      <c r="AD315" s="56" t="s">
        <v>1490</v>
      </c>
      <c r="AE315" s="56" t="s">
        <v>1490</v>
      </c>
      <c r="AF315" s="56" t="s">
        <v>1490</v>
      </c>
      <c r="AG315" s="56" t="s">
        <v>1490</v>
      </c>
      <c r="AH315" s="56" t="s">
        <v>1490</v>
      </c>
      <c r="AI315" s="56" t="s">
        <v>1490</v>
      </c>
      <c r="AJ315" s="56" t="s">
        <v>1490</v>
      </c>
      <c r="AK315" s="56" t="s">
        <v>1490</v>
      </c>
    </row>
    <row r="316" spans="1:37" s="56" customFormat="1" ht="30" customHeight="1" x14ac:dyDescent="0.25">
      <c r="A316" s="56">
        <v>315</v>
      </c>
      <c r="B316" s="57" t="s">
        <v>1265</v>
      </c>
      <c r="C316" s="57" t="s">
        <v>1277</v>
      </c>
      <c r="D316" s="56" t="s">
        <v>622</v>
      </c>
      <c r="E316" s="56" t="s">
        <v>1283</v>
      </c>
      <c r="G316" s="56" t="str">
        <f>VLOOKUP(Table1[[#This Row],[Project Code]],'[6]Combined Nov''25'!$E:$I,5,FALSE)</f>
        <v>Ongoing</v>
      </c>
      <c r="H316" s="59">
        <v>45890</v>
      </c>
      <c r="I316" s="59">
        <v>45710</v>
      </c>
      <c r="J316" s="59"/>
      <c r="K316" s="69" t="s">
        <v>1545</v>
      </c>
      <c r="L316" s="69"/>
      <c r="M316" s="73"/>
      <c r="N316" s="73" t="s">
        <v>912</v>
      </c>
      <c r="O316" s="73"/>
      <c r="P316" s="73"/>
      <c r="Q316" s="57" t="s">
        <v>1464</v>
      </c>
      <c r="T316" s="57" t="s">
        <v>1530</v>
      </c>
      <c r="U316" s="57" t="s">
        <v>1541</v>
      </c>
      <c r="V316" s="56" t="s">
        <v>1058</v>
      </c>
      <c r="W316" s="60">
        <v>5927154</v>
      </c>
      <c r="Y316" s="56" t="s">
        <v>1489</v>
      </c>
      <c r="Z316" s="56" t="s">
        <v>1490</v>
      </c>
      <c r="AA316" s="56" t="s">
        <v>1490</v>
      </c>
      <c r="AB316" s="56" t="s">
        <v>1490</v>
      </c>
      <c r="AC316" s="56" t="s">
        <v>1490</v>
      </c>
      <c r="AD316" s="56" t="s">
        <v>1490</v>
      </c>
      <c r="AE316" s="56" t="s">
        <v>1490</v>
      </c>
      <c r="AF316" s="56" t="s">
        <v>1490</v>
      </c>
      <c r="AG316" s="56" t="s">
        <v>1490</v>
      </c>
      <c r="AH316" s="56" t="s">
        <v>1490</v>
      </c>
      <c r="AI316" s="56" t="s">
        <v>1490</v>
      </c>
      <c r="AJ316" s="56" t="s">
        <v>1490</v>
      </c>
      <c r="AK316" s="56" t="s">
        <v>1490</v>
      </c>
    </row>
    <row r="317" spans="1:37" s="56" customFormat="1" ht="30" customHeight="1" x14ac:dyDescent="0.25">
      <c r="A317" s="56">
        <v>316</v>
      </c>
      <c r="B317" s="57" t="s">
        <v>1266</v>
      </c>
      <c r="C317" s="57" t="s">
        <v>1278</v>
      </c>
      <c r="D317" s="56" t="s">
        <v>615</v>
      </c>
      <c r="E317" s="56" t="s">
        <v>624</v>
      </c>
      <c r="G317" s="56" t="str">
        <f>VLOOKUP(Table1[[#This Row],[Project Code]],'[6]Combined Nov''25'!$E:$I,5,FALSE)</f>
        <v>Ongoing</v>
      </c>
      <c r="H317" s="59">
        <v>45894</v>
      </c>
      <c r="I317" s="59">
        <v>45893</v>
      </c>
      <c r="J317" s="59"/>
      <c r="K317" s="73" t="str">
        <f>VLOOKUP(Table1[[#This Row],[Project Code]],'[6]Combined Nov''25'!$E:$K,6,FALSE)</f>
        <v>Government of Gujarat</v>
      </c>
      <c r="L317" s="69"/>
      <c r="M317" s="73"/>
      <c r="N317" s="73" t="s">
        <v>915</v>
      </c>
      <c r="O317" s="73"/>
      <c r="P317" s="73" t="str">
        <f>VLOOKUP(Table1[[#This Row],[Project Code]],[4]Sheet1!$B:$D,2,FALSE)</f>
        <v>Gujarat</v>
      </c>
      <c r="Q317" s="57" t="s">
        <v>1464</v>
      </c>
      <c r="T317" s="57" t="s">
        <v>1024</v>
      </c>
      <c r="U317" s="57" t="s">
        <v>1059</v>
      </c>
      <c r="V317" s="56" t="s">
        <v>1058</v>
      </c>
      <c r="W317" s="60">
        <v>43575000</v>
      </c>
      <c r="Y317" s="56" t="s">
        <v>1489</v>
      </c>
      <c r="Z317" s="56" t="s">
        <v>1490</v>
      </c>
      <c r="AA317" s="56" t="s">
        <v>1490</v>
      </c>
      <c r="AB317" s="56" t="s">
        <v>1490</v>
      </c>
      <c r="AC317" s="56" t="s">
        <v>1490</v>
      </c>
      <c r="AD317" s="56" t="s">
        <v>1490</v>
      </c>
      <c r="AE317" s="56" t="s">
        <v>1490</v>
      </c>
      <c r="AF317" s="56" t="s">
        <v>1490</v>
      </c>
      <c r="AG317" s="56" t="s">
        <v>1490</v>
      </c>
      <c r="AH317" s="56" t="s">
        <v>1490</v>
      </c>
      <c r="AI317" s="56" t="s">
        <v>1490</v>
      </c>
      <c r="AJ317" s="56" t="s">
        <v>1490</v>
      </c>
      <c r="AK317" s="56" t="s">
        <v>1490</v>
      </c>
    </row>
    <row r="318" spans="1:37" s="56" customFormat="1" ht="30" customHeight="1" x14ac:dyDescent="0.25">
      <c r="A318" s="56">
        <v>317</v>
      </c>
      <c r="B318" s="57" t="s">
        <v>1267</v>
      </c>
      <c r="C318" s="57" t="s">
        <v>1279</v>
      </c>
      <c r="D318" s="56" t="s">
        <v>615</v>
      </c>
      <c r="E318" s="56" t="s">
        <v>657</v>
      </c>
      <c r="G318" s="56" t="str">
        <f>VLOOKUP(Table1[[#This Row],[Project Code]],'[6]Combined Nov''25'!$E:$I,5,FALSE)</f>
        <v>Completed</v>
      </c>
      <c r="H318" s="59">
        <v>45895</v>
      </c>
      <c r="I318" s="59">
        <v>45926</v>
      </c>
      <c r="J318" s="59"/>
      <c r="K318" s="73" t="s">
        <v>1547</v>
      </c>
      <c r="L318" s="69"/>
      <c r="M318" s="73"/>
      <c r="N318" s="73" t="s">
        <v>620</v>
      </c>
      <c r="O318" s="73"/>
      <c r="P318" s="73"/>
      <c r="Q318" s="57"/>
      <c r="T318" s="57" t="s">
        <v>1531</v>
      </c>
      <c r="U318" s="57" t="s">
        <v>1542</v>
      </c>
      <c r="V318" s="56" t="s">
        <v>1544</v>
      </c>
      <c r="W318" s="60">
        <v>4212203.5199999996</v>
      </c>
      <c r="Y318" s="56" t="s">
        <v>1489</v>
      </c>
      <c r="Z318" s="56" t="s">
        <v>1490</v>
      </c>
      <c r="AA318" s="56" t="s">
        <v>1490</v>
      </c>
      <c r="AB318" s="56" t="s">
        <v>1490</v>
      </c>
      <c r="AC318" s="56" t="s">
        <v>1490</v>
      </c>
      <c r="AD318" s="56" t="s">
        <v>1490</v>
      </c>
      <c r="AE318" s="56" t="s">
        <v>1490</v>
      </c>
      <c r="AF318" s="56" t="s">
        <v>1490</v>
      </c>
      <c r="AG318" s="56" t="s">
        <v>1490</v>
      </c>
      <c r="AH318" s="56" t="s">
        <v>1490</v>
      </c>
      <c r="AI318" s="56" t="s">
        <v>1490</v>
      </c>
      <c r="AJ318" s="56" t="s">
        <v>1490</v>
      </c>
      <c r="AK318" s="56" t="s">
        <v>1490</v>
      </c>
    </row>
    <row r="319" spans="1:37" s="56" customFormat="1" ht="30" customHeight="1" x14ac:dyDescent="0.2">
      <c r="A319" s="56">
        <v>318</v>
      </c>
      <c r="B319" s="57" t="s">
        <v>1493</v>
      </c>
      <c r="C319" s="57" t="s">
        <v>1500</v>
      </c>
      <c r="D319" s="56" t="s">
        <v>616</v>
      </c>
      <c r="E319" s="56" t="s">
        <v>661</v>
      </c>
      <c r="G319" s="56" t="str">
        <f>VLOOKUP(Table1[[#This Row],[Project Code]],'[6]Combined Nov''25'!$E:$I,5,FALSE)</f>
        <v>Completed</v>
      </c>
      <c r="H319" s="59">
        <v>45902</v>
      </c>
      <c r="I319" s="59">
        <v>45962</v>
      </c>
      <c r="J319" s="59"/>
      <c r="K319" s="73" t="s">
        <v>785</v>
      </c>
      <c r="L319" s="71" t="s">
        <v>785</v>
      </c>
      <c r="M319" s="73" t="s">
        <v>843</v>
      </c>
      <c r="N319" s="72" t="s">
        <v>1556</v>
      </c>
      <c r="O319" s="73"/>
      <c r="P319" s="73" t="s">
        <v>864</v>
      </c>
      <c r="Q319" s="57"/>
      <c r="R319" s="57" t="s">
        <v>1555</v>
      </c>
      <c r="T319" s="57" t="str">
        <f>VLOOKUP(Table1[[#This Row],[Project Code]],'[6]Combined Nov''25'!$E:$P,12,FALSE)</f>
        <v>QCI has been engaged to evaluate the effectiveness, impact, and efficiency of the CFA Scheme under the Ministry of Tourism. This evaluation will measure the extent to which the grant has been utilised by the institutes, the operational efficiancy of the institutes and beneifts rececived by the end user i.e. the students.</v>
      </c>
      <c r="U319" s="57">
        <v>0</v>
      </c>
      <c r="V319" s="56" t="s">
        <v>1057</v>
      </c>
      <c r="W319" s="60">
        <v>4413528</v>
      </c>
    </row>
    <row r="320" spans="1:37" s="56" customFormat="1" ht="30" customHeight="1" x14ac:dyDescent="0.25">
      <c r="A320" s="56">
        <v>319</v>
      </c>
      <c r="B320" s="57" t="s">
        <v>1494</v>
      </c>
      <c r="C320" s="57" t="s">
        <v>1501</v>
      </c>
      <c r="D320" s="56" t="s">
        <v>620</v>
      </c>
      <c r="E320" s="56" t="s">
        <v>662</v>
      </c>
      <c r="G320" s="56" t="str">
        <f>VLOOKUP(Table1[[#This Row],[Project Code]],'[6]Combined Nov''25'!$E:$I,5,FALSE)</f>
        <v>Ongoing</v>
      </c>
      <c r="H320" s="59">
        <v>45870</v>
      </c>
      <c r="I320" s="59">
        <v>46053</v>
      </c>
      <c r="J320" s="59"/>
      <c r="K320" s="73" t="s">
        <v>681</v>
      </c>
      <c r="L320" s="69" t="s">
        <v>1581</v>
      </c>
      <c r="M320" s="56" t="s">
        <v>843</v>
      </c>
      <c r="N320" s="73"/>
      <c r="O320" s="73" t="s">
        <v>855</v>
      </c>
      <c r="P320" s="56" t="s">
        <v>864</v>
      </c>
      <c r="Q320" s="57" t="s">
        <v>855</v>
      </c>
      <c r="R320" s="57"/>
      <c r="T320" s="57" t="s">
        <v>681</v>
      </c>
      <c r="U320" s="57">
        <v>0</v>
      </c>
      <c r="V320" s="56" t="s">
        <v>1057</v>
      </c>
      <c r="W320" s="60" t="e">
        <v>#N/A</v>
      </c>
      <c r="X320" s="56" t="s">
        <v>1489</v>
      </c>
      <c r="Y320" s="56" t="s">
        <v>1489</v>
      </c>
      <c r="Z320" s="56" t="s">
        <v>1489</v>
      </c>
      <c r="AA320" s="56" t="s">
        <v>1489</v>
      </c>
      <c r="AB320" s="56" t="s">
        <v>1489</v>
      </c>
      <c r="AC320" s="56" t="s">
        <v>1489</v>
      </c>
      <c r="AD320" s="56" t="s">
        <v>1489</v>
      </c>
      <c r="AE320" s="56" t="s">
        <v>1489</v>
      </c>
      <c r="AF320" s="56" t="s">
        <v>1489</v>
      </c>
      <c r="AG320" s="56" t="s">
        <v>1489</v>
      </c>
      <c r="AH320" s="56" t="s">
        <v>1489</v>
      </c>
      <c r="AI320" s="56" t="s">
        <v>1489</v>
      </c>
      <c r="AJ320" s="56" t="s">
        <v>1489</v>
      </c>
      <c r="AK320" s="56" t="s">
        <v>1489</v>
      </c>
    </row>
    <row r="321" spans="1:37" s="56" customFormat="1" ht="30" customHeight="1" x14ac:dyDescent="0.25">
      <c r="A321" s="56">
        <v>320</v>
      </c>
      <c r="B321" s="57" t="s">
        <v>1495</v>
      </c>
      <c r="C321" s="57" t="s">
        <v>1502</v>
      </c>
      <c r="D321" s="56" t="s">
        <v>622</v>
      </c>
      <c r="E321" s="56" t="s">
        <v>645</v>
      </c>
      <c r="G321" s="56" t="str">
        <f>VLOOKUP(Table1[[#This Row],[Project Code]],'[6]Combined Nov''25'!$E:$I,5,FALSE)</f>
        <v>Ongoing</v>
      </c>
      <c r="H321" s="59">
        <v>45912</v>
      </c>
      <c r="I321" s="59">
        <v>46022</v>
      </c>
      <c r="J321" s="59"/>
      <c r="K321" s="73" t="s">
        <v>1566</v>
      </c>
      <c r="L321" s="69" t="s">
        <v>821</v>
      </c>
      <c r="M321" s="73" t="s">
        <v>843</v>
      </c>
      <c r="N321" s="73" t="s">
        <v>1476</v>
      </c>
      <c r="O321" s="73"/>
      <c r="P321" s="73"/>
      <c r="Q321" s="57" t="s">
        <v>1464</v>
      </c>
      <c r="R321" s="57"/>
      <c r="S321" s="57"/>
      <c r="T321" s="57" t="s">
        <v>1532</v>
      </c>
      <c r="U321" s="57" t="s">
        <v>1543</v>
      </c>
      <c r="V321" s="56" t="s">
        <v>1057</v>
      </c>
      <c r="W321" s="60">
        <v>2272289</v>
      </c>
    </row>
    <row r="322" spans="1:37" s="56" customFormat="1" ht="30" customHeight="1" x14ac:dyDescent="0.2">
      <c r="A322" s="56">
        <v>321</v>
      </c>
      <c r="B322" s="57" t="s">
        <v>1496</v>
      </c>
      <c r="C322" s="57" t="s">
        <v>1503</v>
      </c>
      <c r="D322" s="56" t="s">
        <v>616</v>
      </c>
      <c r="E322" s="56" t="s">
        <v>1499</v>
      </c>
      <c r="G322" s="56" t="str">
        <f>VLOOKUP(Table1[[#This Row],[Project Code]],'[6]Combined Nov''25'!$E:$I,5,FALSE)</f>
        <v>Ongoing</v>
      </c>
      <c r="H322" s="59">
        <v>45916</v>
      </c>
      <c r="I322" s="59">
        <v>46280</v>
      </c>
      <c r="J322" s="59"/>
      <c r="K322" s="73" t="s">
        <v>1548</v>
      </c>
      <c r="L322" s="69"/>
      <c r="M322" s="73"/>
      <c r="N322" s="72" t="s">
        <v>1549</v>
      </c>
      <c r="O322" s="73"/>
      <c r="P322" s="73"/>
      <c r="Q322" s="57"/>
      <c r="R322" s="57"/>
      <c r="S322" s="57" t="s">
        <v>1554</v>
      </c>
      <c r="T322" s="57" t="str">
        <f>VLOOKUP(Table1[[#This Row],[Project Code]],'[6]Combined Nov''25'!$E:$P,12,FALSE)</f>
        <v>QCI has been engaged to monitor the effeciveness of cleaning work being done by cleaning agency across 5 yatradhams across Gujarat</v>
      </c>
      <c r="U322" s="57"/>
      <c r="V322" s="56" t="s">
        <v>1058</v>
      </c>
      <c r="W322" s="60">
        <v>11065692</v>
      </c>
      <c r="X322" s="56" t="s">
        <v>1491</v>
      </c>
      <c r="Y322" s="56" t="s">
        <v>1491</v>
      </c>
      <c r="Z322" s="56" t="s">
        <v>1489</v>
      </c>
      <c r="AA322" s="56" t="s">
        <v>1491</v>
      </c>
      <c r="AB322" s="56" t="s">
        <v>1491</v>
      </c>
      <c r="AC322" s="56" t="s">
        <v>1491</v>
      </c>
    </row>
    <row r="323" spans="1:37" s="56" customFormat="1" ht="30" customHeight="1" x14ac:dyDescent="0.2">
      <c r="A323" s="56">
        <v>322</v>
      </c>
      <c r="B323" s="57" t="s">
        <v>1497</v>
      </c>
      <c r="C323" s="57" t="s">
        <v>1504</v>
      </c>
      <c r="D323" s="56" t="s">
        <v>616</v>
      </c>
      <c r="E323" s="56" t="s">
        <v>661</v>
      </c>
      <c r="G323" s="56" t="str">
        <f>VLOOKUP(Table1[[#This Row],[Project Code]],'[6]Combined Nov''25'!$E:$I,5,FALSE)</f>
        <v>Ongoing</v>
      </c>
      <c r="H323" s="59">
        <v>45922</v>
      </c>
      <c r="I323" s="59">
        <v>45978</v>
      </c>
      <c r="J323" s="59"/>
      <c r="K323" s="73" t="s">
        <v>785</v>
      </c>
      <c r="L323" s="69" t="s">
        <v>785</v>
      </c>
      <c r="M323" s="73" t="s">
        <v>843</v>
      </c>
      <c r="N323" s="72" t="s">
        <v>1556</v>
      </c>
      <c r="O323" s="73"/>
      <c r="P323" s="73"/>
      <c r="Q323" s="57"/>
      <c r="R323" s="57"/>
      <c r="S323" s="57"/>
      <c r="T323" s="57" t="str">
        <f>VLOOKUP(Table1[[#This Row],[Project Code]],'[6]Combined Nov''25'!$E:$P,12,FALSE)</f>
        <v>QCI has been engaged to evaluate the effectiveness, impact, and efficiency of the DPPH Scheme under the Ministry of Tourism. This evaluation will measure the extent to which domestic promotions are being done and measuring their impact</v>
      </c>
      <c r="U323" s="57"/>
      <c r="V323" s="56" t="s">
        <v>1057</v>
      </c>
      <c r="W323" s="60">
        <v>2128560</v>
      </c>
    </row>
    <row r="324" spans="1:37" s="56" customFormat="1" ht="30" customHeight="1" x14ac:dyDescent="0.2">
      <c r="A324" s="56">
        <v>323</v>
      </c>
      <c r="B324" s="57" t="s">
        <v>1498</v>
      </c>
      <c r="C324" s="57" t="s">
        <v>1505</v>
      </c>
      <c r="D324" s="56" t="s">
        <v>619</v>
      </c>
      <c r="E324" s="56" t="s">
        <v>629</v>
      </c>
      <c r="G324" s="56" t="str">
        <f>VLOOKUP(Table1[[#This Row],[Project Code]],'[6]Combined Nov''25'!$E:$I,5,FALSE)</f>
        <v>Ongoing</v>
      </c>
      <c r="H324" s="59">
        <v>45945</v>
      </c>
      <c r="I324" s="59">
        <v>46310</v>
      </c>
      <c r="J324" s="59"/>
      <c r="K324" s="73" t="s">
        <v>1550</v>
      </c>
      <c r="L324" s="72" t="s">
        <v>1551</v>
      </c>
      <c r="M324" s="72" t="s">
        <v>1551</v>
      </c>
      <c r="N324" s="73" t="str">
        <f>VLOOKUP(Table1[[#This Row],[Project Code]],'[6]Combined Nov''25'!$E:$K,7,FALSE)</f>
        <v>Coal</v>
      </c>
      <c r="O324" s="73"/>
      <c r="P324" s="72" t="s">
        <v>1552</v>
      </c>
      <c r="Q324" s="57"/>
      <c r="R324" s="57"/>
      <c r="S324" s="57" t="s">
        <v>1553</v>
      </c>
      <c r="T324" s="57" t="str">
        <f>VLOOKUP(Table1[[#This Row],[Project Code]],'[6]Combined Nov''25'!$E:$P,12,FALSE)</f>
        <v>QCI has received consent from “Maharashtra State Power Generation Corporation Limited (MAHAGENCO)" for carrying out sampling and analysis of coal at unloading end of Paras &amp; Parli Thermal Power Station</v>
      </c>
      <c r="U324" s="57"/>
      <c r="V324" s="56" t="s">
        <v>1057</v>
      </c>
      <c r="W324" s="60">
        <v>15074235</v>
      </c>
    </row>
    <row r="325" spans="1:37" s="56" customFormat="1" ht="30" customHeight="1" x14ac:dyDescent="0.25">
      <c r="A325" s="56">
        <v>324</v>
      </c>
      <c r="B325" s="57" t="s">
        <v>1557</v>
      </c>
      <c r="C325" s="57" t="s">
        <v>1280</v>
      </c>
      <c r="D325" s="57" t="s">
        <v>617</v>
      </c>
      <c r="E325" s="56" t="s">
        <v>656</v>
      </c>
      <c r="G325" s="56" t="str">
        <f>VLOOKUP(Table1[[#This Row],[Project Code]],'[6]Combined Nov''25'!$E:$I,5,FALSE)</f>
        <v>Ongoing</v>
      </c>
      <c r="H325" s="59">
        <v>45931</v>
      </c>
      <c r="I325" s="58">
        <v>46052</v>
      </c>
      <c r="J325" s="59"/>
      <c r="K325" s="73" t="s">
        <v>1546</v>
      </c>
      <c r="L325" s="75"/>
      <c r="M325" s="77"/>
      <c r="N325" s="73" t="str">
        <f>VLOOKUP(Table1[[#This Row],[Project Code]],'[6]Combined Nov''25'!$E:$K,7,FALSE)</f>
        <v>Police Reforms &amp; Public Perception</v>
      </c>
      <c r="O325" s="77"/>
      <c r="P325" s="77"/>
      <c r="Q325" s="57"/>
      <c r="R325" s="57"/>
      <c r="S325" s="57"/>
      <c r="T325" s="63" t="s">
        <v>1562</v>
      </c>
      <c r="U325" s="57"/>
      <c r="V325" s="56" t="s">
        <v>1057</v>
      </c>
      <c r="W325" s="60">
        <v>24131184</v>
      </c>
      <c r="X325" s="61"/>
      <c r="Y325" s="61"/>
      <c r="Z325" s="61"/>
      <c r="AA325" s="61"/>
      <c r="AB325" s="61"/>
      <c r="AC325" s="61"/>
      <c r="AD325" s="61"/>
      <c r="AE325" s="61"/>
      <c r="AF325" s="61"/>
      <c r="AG325" s="61"/>
      <c r="AH325" s="61"/>
      <c r="AI325" s="61"/>
      <c r="AJ325" s="61"/>
      <c r="AK325" s="61"/>
    </row>
    <row r="326" spans="1:37" s="56" customFormat="1" ht="30" customHeight="1" x14ac:dyDescent="0.25">
      <c r="A326" s="56">
        <v>325</v>
      </c>
      <c r="B326" s="57" t="s">
        <v>1558</v>
      </c>
      <c r="C326" s="57" t="s">
        <v>1560</v>
      </c>
      <c r="D326" s="57" t="s">
        <v>617</v>
      </c>
      <c r="E326" s="57" t="s">
        <v>638</v>
      </c>
      <c r="F326" s="57"/>
      <c r="G326" s="56" t="str">
        <f>VLOOKUP(Table1[[#This Row],[Project Code]],'[6]Combined Nov''25'!$E:$I,5,FALSE)</f>
        <v>Ongoing</v>
      </c>
      <c r="H326" s="59">
        <v>45962</v>
      </c>
      <c r="I326" s="58">
        <v>46326</v>
      </c>
      <c r="J326" s="59"/>
      <c r="K326" s="73" t="s">
        <v>707</v>
      </c>
      <c r="L326" s="57"/>
      <c r="M326" s="57"/>
      <c r="N326" s="57" t="s">
        <v>1574</v>
      </c>
      <c r="O326" s="57" t="s">
        <v>1582</v>
      </c>
      <c r="P326" s="57" t="s">
        <v>864</v>
      </c>
      <c r="Q326" s="57" t="s">
        <v>855</v>
      </c>
      <c r="R326" s="57"/>
      <c r="S326" s="57" t="s">
        <v>1588</v>
      </c>
      <c r="T326" s="57" t="s">
        <v>1580</v>
      </c>
      <c r="U326" s="57"/>
      <c r="V326" s="56" t="s">
        <v>1057</v>
      </c>
      <c r="W326" s="60">
        <v>884800</v>
      </c>
      <c r="X326" s="57" t="s">
        <v>1491</v>
      </c>
      <c r="Y326" s="57"/>
      <c r="Z326" s="57" t="s">
        <v>1491</v>
      </c>
      <c r="AA326" s="57"/>
      <c r="AB326" s="66" t="s">
        <v>1491</v>
      </c>
      <c r="AC326" s="67" t="s">
        <v>1491</v>
      </c>
      <c r="AD326" s="66"/>
      <c r="AE326" s="66"/>
      <c r="AF326" s="66"/>
      <c r="AG326" s="66"/>
      <c r="AH326" s="66"/>
      <c r="AI326" s="66"/>
      <c r="AJ326" s="66"/>
      <c r="AK326" s="66"/>
    </row>
    <row r="327" spans="1:37" s="56" customFormat="1" ht="30" customHeight="1" x14ac:dyDescent="0.2">
      <c r="A327" s="56">
        <v>326</v>
      </c>
      <c r="B327" s="57" t="s">
        <v>1559</v>
      </c>
      <c r="C327" s="57" t="s">
        <v>1561</v>
      </c>
      <c r="D327" s="57" t="s">
        <v>615</v>
      </c>
      <c r="E327" s="57" t="s">
        <v>658</v>
      </c>
      <c r="F327" s="57"/>
      <c r="G327" s="56" t="str">
        <f>VLOOKUP(Table1[[#This Row],[Project Code]],'[6]Combined Nov''25'!$E:$I,5,FALSE)</f>
        <v>Ongoing</v>
      </c>
      <c r="H327" s="59">
        <v>45961</v>
      </c>
      <c r="I327" s="58">
        <v>46356</v>
      </c>
      <c r="J327" s="59"/>
      <c r="K327" s="73" t="s">
        <v>1564</v>
      </c>
      <c r="L327" s="57" t="s">
        <v>1565</v>
      </c>
      <c r="M327" s="57" t="s">
        <v>843</v>
      </c>
      <c r="N327" s="57" t="s">
        <v>1576</v>
      </c>
      <c r="O327" s="64" t="s">
        <v>1586</v>
      </c>
      <c r="P327" s="57" t="s">
        <v>1587</v>
      </c>
      <c r="Q327" s="57" t="s">
        <v>888</v>
      </c>
      <c r="R327" s="57"/>
      <c r="S327" s="57" t="s">
        <v>1584</v>
      </c>
      <c r="T327" s="57" t="s">
        <v>1563</v>
      </c>
      <c r="U327" s="57"/>
      <c r="V327" s="56" t="s">
        <v>1057</v>
      </c>
      <c r="W327" s="60">
        <v>7795200</v>
      </c>
      <c r="X327" s="57" t="s">
        <v>1491</v>
      </c>
      <c r="Y327" s="57" t="s">
        <v>1491</v>
      </c>
      <c r="Z327" s="57" t="s">
        <v>1491</v>
      </c>
      <c r="AA327" s="57"/>
      <c r="AB327" s="66" t="s">
        <v>1491</v>
      </c>
      <c r="AC327" s="67" t="s">
        <v>1491</v>
      </c>
      <c r="AD327" s="66"/>
      <c r="AE327" s="66"/>
      <c r="AF327" s="66"/>
      <c r="AG327" s="66"/>
      <c r="AH327" s="66"/>
      <c r="AI327" s="66"/>
      <c r="AJ327" s="66"/>
      <c r="AK327" s="66"/>
    </row>
    <row r="328" spans="1:37" s="56" customFormat="1" ht="30" customHeight="1" x14ac:dyDescent="0.25">
      <c r="A328" s="56">
        <v>327</v>
      </c>
      <c r="B328" s="65" t="s">
        <v>1567</v>
      </c>
      <c r="C328" s="57" t="s">
        <v>1570</v>
      </c>
      <c r="D328" s="57" t="s">
        <v>617</v>
      </c>
      <c r="E328" s="57" t="s">
        <v>638</v>
      </c>
      <c r="F328" s="57"/>
      <c r="G328" s="56" t="str">
        <f>VLOOKUP(Table1[[#This Row],[Project Code]],'[6]Combined Nov''25'!$E:$I,5,FALSE)</f>
        <v>Ongoing</v>
      </c>
      <c r="H328" s="59">
        <v>45931</v>
      </c>
      <c r="I328" s="58">
        <v>46022</v>
      </c>
      <c r="J328" s="59"/>
      <c r="K328" s="73" t="s">
        <v>741</v>
      </c>
      <c r="L328" s="57"/>
      <c r="M328" s="57"/>
      <c r="N328" s="57" t="s">
        <v>1574</v>
      </c>
      <c r="O328" s="57" t="s">
        <v>1582</v>
      </c>
      <c r="P328" s="57" t="s">
        <v>864</v>
      </c>
      <c r="Q328" s="57" t="s">
        <v>855</v>
      </c>
      <c r="R328" s="57" t="s">
        <v>1583</v>
      </c>
      <c r="S328" s="57" t="s">
        <v>1585</v>
      </c>
      <c r="T328" s="57" t="s">
        <v>1577</v>
      </c>
      <c r="U328" s="57"/>
      <c r="V328" s="56" t="s">
        <v>1057</v>
      </c>
      <c r="W328" s="60">
        <v>336000</v>
      </c>
      <c r="X328" s="57" t="s">
        <v>1491</v>
      </c>
      <c r="Y328" s="57" t="s">
        <v>1491</v>
      </c>
      <c r="Z328" s="57" t="s">
        <v>1491</v>
      </c>
      <c r="AA328" s="57"/>
      <c r="AB328" s="66" t="s">
        <v>1491</v>
      </c>
      <c r="AC328" s="67" t="s">
        <v>1491</v>
      </c>
      <c r="AD328" s="66"/>
      <c r="AE328" s="66"/>
      <c r="AF328" s="66"/>
      <c r="AG328" s="66"/>
      <c r="AH328" s="66"/>
      <c r="AI328" s="66"/>
      <c r="AJ328" s="66"/>
      <c r="AK328" s="66"/>
    </row>
    <row r="329" spans="1:37" s="56" customFormat="1" ht="30" customHeight="1" x14ac:dyDescent="0.25">
      <c r="A329" s="56">
        <v>328</v>
      </c>
      <c r="B329" s="65" t="s">
        <v>1568</v>
      </c>
      <c r="C329" s="57" t="s">
        <v>1571</v>
      </c>
      <c r="D329" s="57" t="s">
        <v>617</v>
      </c>
      <c r="E329" s="57" t="s">
        <v>627</v>
      </c>
      <c r="F329" s="57"/>
      <c r="G329" s="56" t="str">
        <f>VLOOKUP(Table1[[#This Row],[Project Code]],'[6]Combined Nov''25'!$E:$I,5,FALSE)</f>
        <v>Ongoing</v>
      </c>
      <c r="H329" s="59">
        <v>45966</v>
      </c>
      <c r="I329" s="58">
        <v>46006</v>
      </c>
      <c r="J329" s="59"/>
      <c r="K329" s="73" t="s">
        <v>1573</v>
      </c>
      <c r="L329" s="57" t="s">
        <v>797</v>
      </c>
      <c r="M329" s="57" t="s">
        <v>843</v>
      </c>
      <c r="N329" s="57" t="s">
        <v>1575</v>
      </c>
      <c r="O329" s="57"/>
      <c r="P329" s="57"/>
      <c r="Q329" s="57" t="s">
        <v>1464</v>
      </c>
      <c r="R329" s="57"/>
      <c r="S329" s="57"/>
      <c r="T329" s="57" t="s">
        <v>1578</v>
      </c>
      <c r="U329" s="57"/>
      <c r="V329" s="56" t="s">
        <v>1057</v>
      </c>
      <c r="W329" s="60">
        <v>1011024</v>
      </c>
      <c r="X329" s="57"/>
      <c r="Y329" s="57"/>
      <c r="Z329" s="57"/>
      <c r="AA329" s="57"/>
      <c r="AB329" s="66"/>
      <c r="AC329" s="67"/>
      <c r="AD329" s="66"/>
      <c r="AE329" s="66"/>
      <c r="AF329" s="66"/>
      <c r="AG329" s="66"/>
      <c r="AH329" s="66"/>
      <c r="AI329" s="66"/>
      <c r="AJ329" s="66"/>
      <c r="AK329" s="66"/>
    </row>
    <row r="330" spans="1:37" s="56" customFormat="1" ht="30" customHeight="1" x14ac:dyDescent="0.25">
      <c r="A330" s="56">
        <v>329</v>
      </c>
      <c r="B330" s="65" t="s">
        <v>1569</v>
      </c>
      <c r="C330" s="57" t="s">
        <v>1572</v>
      </c>
      <c r="D330" s="57" t="s">
        <v>617</v>
      </c>
      <c r="E330" s="57" t="s">
        <v>660</v>
      </c>
      <c r="F330" s="57"/>
      <c r="G330" s="56" t="str">
        <f>VLOOKUP(Table1[[#This Row],[Project Code]],'[6]Combined Nov''25'!$E:$I,5,FALSE)</f>
        <v>Ongoing</v>
      </c>
      <c r="H330" s="59">
        <v>45997</v>
      </c>
      <c r="I330" s="58">
        <v>46118</v>
      </c>
      <c r="J330" s="59"/>
      <c r="K330" s="73" t="s">
        <v>761</v>
      </c>
      <c r="L330" s="57"/>
      <c r="M330" s="57"/>
      <c r="N330" s="57" t="s">
        <v>891</v>
      </c>
      <c r="O330" s="57"/>
      <c r="P330" s="57"/>
      <c r="Q330" s="57" t="s">
        <v>1464</v>
      </c>
      <c r="R330" s="57"/>
      <c r="S330" s="57"/>
      <c r="T330" s="57" t="s">
        <v>1579</v>
      </c>
      <c r="U330" s="57"/>
      <c r="V330" s="56" t="s">
        <v>1057</v>
      </c>
      <c r="W330" s="60">
        <v>40552627</v>
      </c>
      <c r="X330" s="57"/>
      <c r="Y330" s="57"/>
      <c r="Z330" s="57"/>
      <c r="AA330" s="57"/>
      <c r="AB330" s="66"/>
      <c r="AC330" s="67"/>
      <c r="AD330" s="66"/>
      <c r="AE330" s="66"/>
      <c r="AF330" s="66"/>
      <c r="AG330" s="66"/>
      <c r="AH330" s="66"/>
      <c r="AI330" s="66"/>
      <c r="AJ330" s="66"/>
      <c r="AK330" s="66"/>
    </row>
    <row r="331" spans="1:37" s="56" customFormat="1" ht="30" customHeight="1" x14ac:dyDescent="0.25">
      <c r="B331" s="57"/>
      <c r="H331" s="59"/>
      <c r="I331" s="59"/>
      <c r="K331" s="69"/>
      <c r="L331" s="69"/>
      <c r="M331" s="73"/>
      <c r="N331" s="73"/>
      <c r="O331" s="73"/>
      <c r="P331" s="73"/>
      <c r="Q331" s="57"/>
      <c r="T331" s="57"/>
      <c r="U331" s="57"/>
      <c r="W331" s="60"/>
    </row>
    <row r="332" spans="1:37" s="56" customFormat="1" ht="30" customHeight="1" x14ac:dyDescent="0.25">
      <c r="B332" s="57"/>
      <c r="H332" s="59"/>
      <c r="I332" s="59"/>
      <c r="K332" s="69"/>
      <c r="L332" s="69"/>
      <c r="M332" s="73"/>
      <c r="N332" s="73"/>
      <c r="O332" s="73"/>
      <c r="P332" s="73"/>
      <c r="Q332" s="57"/>
      <c r="T332" s="57"/>
      <c r="U332" s="57"/>
      <c r="W332" s="60"/>
    </row>
    <row r="333" spans="1:37" s="56" customFormat="1" ht="30" customHeight="1" x14ac:dyDescent="0.25">
      <c r="B333" s="57"/>
      <c r="H333" s="59"/>
      <c r="I333" s="59"/>
      <c r="K333" s="69"/>
      <c r="L333" s="69"/>
      <c r="M333" s="73"/>
      <c r="N333" s="73"/>
      <c r="O333" s="73"/>
      <c r="P333" s="73"/>
      <c r="Q333" s="57"/>
      <c r="T333" s="57"/>
      <c r="U333" s="57"/>
      <c r="W333" s="60"/>
    </row>
    <row r="334" spans="1:37" s="56" customFormat="1" ht="30" customHeight="1" x14ac:dyDescent="0.25">
      <c r="B334" s="57"/>
      <c r="H334" s="59"/>
      <c r="I334" s="59"/>
      <c r="K334" s="69"/>
      <c r="L334" s="69"/>
      <c r="M334" s="73"/>
      <c r="N334" s="73"/>
      <c r="O334" s="73"/>
      <c r="P334" s="73"/>
      <c r="Q334" s="57"/>
      <c r="T334" s="57"/>
      <c r="U334" s="57"/>
      <c r="W334" s="60"/>
    </row>
    <row r="335" spans="1:37" s="56" customFormat="1" ht="30" customHeight="1" x14ac:dyDescent="0.25">
      <c r="B335" s="57"/>
      <c r="H335" s="59"/>
      <c r="I335" s="59"/>
      <c r="K335" s="69"/>
      <c r="L335" s="69"/>
      <c r="M335" s="73"/>
      <c r="N335" s="73"/>
      <c r="O335" s="73"/>
      <c r="P335" s="73"/>
      <c r="Q335" s="57"/>
      <c r="T335" s="57"/>
      <c r="U335" s="57"/>
      <c r="W335" s="60"/>
    </row>
    <row r="336" spans="1:37" s="56" customFormat="1" ht="30" customHeight="1" x14ac:dyDescent="0.25">
      <c r="B336" s="57"/>
      <c r="H336" s="59"/>
      <c r="I336" s="59"/>
      <c r="K336" s="69"/>
      <c r="L336" s="69"/>
      <c r="M336" s="73"/>
      <c r="N336" s="73"/>
      <c r="O336" s="73"/>
      <c r="P336" s="73"/>
      <c r="Q336" s="57"/>
      <c r="T336" s="57"/>
      <c r="U336" s="57"/>
      <c r="W336" s="60"/>
    </row>
    <row r="337" spans="1:37" s="56" customFormat="1" ht="30" customHeight="1" x14ac:dyDescent="0.25">
      <c r="B337" s="57"/>
      <c r="H337" s="59"/>
      <c r="I337" s="59"/>
      <c r="K337" s="69"/>
      <c r="L337" s="69"/>
      <c r="M337" s="73"/>
      <c r="N337" s="73"/>
      <c r="O337" s="73"/>
      <c r="P337" s="73"/>
      <c r="Q337" s="57"/>
      <c r="T337" s="57"/>
      <c r="U337" s="57"/>
      <c r="W337" s="60"/>
    </row>
    <row r="338" spans="1:37" s="56" customFormat="1" ht="30" customHeight="1" x14ac:dyDescent="0.25">
      <c r="B338" s="57"/>
      <c r="H338" s="59"/>
      <c r="I338" s="59"/>
      <c r="K338" s="69"/>
      <c r="L338" s="69"/>
      <c r="M338" s="73"/>
      <c r="N338" s="73"/>
      <c r="O338" s="73"/>
      <c r="P338" s="73"/>
      <c r="Q338" s="57"/>
      <c r="T338" s="57"/>
      <c r="U338" s="57"/>
      <c r="W338" s="60"/>
    </row>
    <row r="339" spans="1:37" s="56" customFormat="1" ht="30" customHeight="1" x14ac:dyDescent="0.25">
      <c r="B339" s="57"/>
      <c r="H339" s="59"/>
      <c r="I339" s="59"/>
      <c r="K339" s="69"/>
      <c r="L339" s="69"/>
      <c r="M339" s="73"/>
      <c r="N339" s="73"/>
      <c r="O339" s="73"/>
      <c r="P339" s="73"/>
      <c r="Q339" s="57"/>
      <c r="T339" s="57"/>
      <c r="U339" s="57"/>
      <c r="W339" s="60"/>
    </row>
    <row r="340" spans="1:37" s="56" customFormat="1" ht="30" customHeight="1" x14ac:dyDescent="0.25">
      <c r="B340" s="57"/>
      <c r="H340" s="59"/>
      <c r="I340" s="59"/>
      <c r="K340" s="69"/>
      <c r="L340" s="69"/>
      <c r="M340" s="73"/>
      <c r="N340" s="73"/>
      <c r="O340" s="73"/>
      <c r="P340" s="73"/>
      <c r="Q340" s="57"/>
      <c r="T340" s="57"/>
      <c r="U340" s="57"/>
      <c r="W340" s="60"/>
    </row>
    <row r="341" spans="1:37" s="56" customFormat="1" ht="30" customHeight="1" x14ac:dyDescent="0.25">
      <c r="B341" s="57"/>
      <c r="H341" s="59"/>
      <c r="I341" s="59"/>
      <c r="K341" s="69"/>
      <c r="L341" s="69"/>
      <c r="M341" s="73"/>
      <c r="N341" s="73"/>
      <c r="O341" s="73"/>
      <c r="P341" s="73"/>
      <c r="Q341" s="57"/>
      <c r="T341" s="57"/>
      <c r="U341" s="57"/>
      <c r="W341" s="60"/>
    </row>
    <row r="342" spans="1:37" s="56" customFormat="1" ht="30" customHeight="1" x14ac:dyDescent="0.25">
      <c r="B342" s="57"/>
      <c r="H342" s="59"/>
      <c r="I342" s="59"/>
      <c r="K342" s="69"/>
      <c r="L342" s="69"/>
      <c r="M342" s="73"/>
      <c r="N342" s="73"/>
      <c r="O342" s="73"/>
      <c r="P342" s="73"/>
      <c r="Q342" s="57"/>
      <c r="T342" s="57"/>
      <c r="U342" s="57"/>
      <c r="W342" s="60"/>
    </row>
    <row r="343" spans="1:37" s="56" customFormat="1" ht="30" customHeight="1" x14ac:dyDescent="0.25">
      <c r="B343" s="57"/>
      <c r="H343" s="59"/>
      <c r="I343" s="59"/>
      <c r="K343" s="69"/>
      <c r="L343" s="69"/>
      <c r="M343" s="73"/>
      <c r="N343" s="73"/>
      <c r="O343" s="73"/>
      <c r="P343" s="73"/>
      <c r="Q343" s="57"/>
      <c r="T343" s="57"/>
      <c r="U343" s="57"/>
      <c r="W343" s="60"/>
    </row>
    <row r="344" spans="1:37" s="56" customFormat="1" ht="30" customHeight="1" x14ac:dyDescent="0.25">
      <c r="B344" s="57"/>
      <c r="H344" s="59"/>
      <c r="I344" s="59"/>
      <c r="K344" s="69"/>
      <c r="L344" s="69"/>
      <c r="M344" s="73"/>
      <c r="N344" s="73"/>
      <c r="O344" s="73"/>
      <c r="P344" s="73"/>
      <c r="Q344" s="57"/>
      <c r="T344" s="57"/>
      <c r="U344" s="57"/>
      <c r="W344" s="60"/>
    </row>
    <row r="345" spans="1:37" ht="30" customHeight="1" x14ac:dyDescent="0.25">
      <c r="A345" s="56"/>
      <c r="B345" s="57"/>
      <c r="C345" s="56"/>
      <c r="D345" s="56"/>
      <c r="E345" s="56"/>
      <c r="F345" s="56"/>
      <c r="G345" s="56"/>
      <c r="H345" s="59"/>
      <c r="I345" s="59"/>
      <c r="J345" s="56"/>
      <c r="K345" s="69"/>
      <c r="L345" s="69"/>
      <c r="M345" s="73"/>
      <c r="N345" s="73"/>
      <c r="O345" s="73"/>
      <c r="P345" s="73"/>
      <c r="Q345" s="57"/>
      <c r="R345" s="56"/>
      <c r="S345" s="56"/>
      <c r="T345" s="57"/>
      <c r="U345" s="57"/>
      <c r="V345" s="56"/>
      <c r="W345" s="60"/>
      <c r="X345" s="56"/>
      <c r="Y345" s="56"/>
      <c r="Z345" s="56"/>
      <c r="AA345" s="56"/>
      <c r="AB345" s="56"/>
      <c r="AC345" s="56"/>
      <c r="AD345" s="56"/>
      <c r="AE345" s="56"/>
      <c r="AF345" s="56"/>
      <c r="AG345" s="56"/>
      <c r="AH345" s="56"/>
      <c r="AI345" s="56"/>
      <c r="AJ345" s="56"/>
      <c r="AK345" s="56"/>
    </row>
    <row r="346" spans="1:37" ht="30" customHeight="1" x14ac:dyDescent="0.25">
      <c r="A346" s="56"/>
      <c r="B346" s="57"/>
      <c r="C346" s="56"/>
      <c r="D346" s="56"/>
      <c r="E346" s="56"/>
      <c r="F346" s="56"/>
      <c r="G346" s="56"/>
      <c r="H346" s="59"/>
      <c r="I346" s="59"/>
      <c r="J346" s="56"/>
      <c r="K346" s="69"/>
      <c r="L346" s="69"/>
      <c r="M346" s="73"/>
      <c r="N346" s="73"/>
      <c r="O346" s="73"/>
      <c r="P346" s="73"/>
      <c r="Q346" s="57"/>
      <c r="R346" s="56"/>
      <c r="S346" s="56"/>
      <c r="T346" s="57"/>
      <c r="U346" s="57"/>
      <c r="V346" s="56"/>
      <c r="W346" s="60"/>
      <c r="X346" s="56"/>
      <c r="Y346" s="56"/>
      <c r="Z346" s="56"/>
      <c r="AA346" s="56"/>
      <c r="AB346" s="56"/>
      <c r="AC346" s="56"/>
      <c r="AD346" s="56"/>
      <c r="AE346" s="56"/>
      <c r="AF346" s="56"/>
      <c r="AG346" s="56"/>
      <c r="AH346" s="56"/>
      <c r="AI346" s="56"/>
      <c r="AJ346" s="56"/>
      <c r="AK346" s="56"/>
    </row>
    <row r="347" spans="1:37" ht="30" customHeight="1" x14ac:dyDescent="0.25">
      <c r="A347" s="56"/>
      <c r="B347" s="57"/>
      <c r="C347" s="56"/>
      <c r="D347" s="56"/>
      <c r="E347" s="56"/>
      <c r="F347" s="56"/>
      <c r="G347" s="56"/>
      <c r="H347" s="59"/>
      <c r="I347" s="59"/>
      <c r="J347" s="56"/>
      <c r="K347" s="69"/>
      <c r="L347" s="69"/>
      <c r="M347" s="73"/>
      <c r="N347" s="73"/>
      <c r="O347" s="73"/>
      <c r="P347" s="73"/>
      <c r="Q347" s="57"/>
      <c r="R347" s="56"/>
      <c r="S347" s="56"/>
      <c r="T347" s="57"/>
      <c r="U347" s="57"/>
      <c r="V347" s="56"/>
      <c r="W347" s="60"/>
      <c r="X347" s="56"/>
      <c r="Y347" s="56"/>
      <c r="Z347" s="56"/>
      <c r="AA347" s="56"/>
      <c r="AB347" s="56"/>
      <c r="AC347" s="56"/>
      <c r="AD347" s="56"/>
      <c r="AE347" s="56"/>
      <c r="AF347" s="56"/>
      <c r="AG347" s="56"/>
      <c r="AH347" s="56"/>
      <c r="AI347" s="56"/>
      <c r="AJ347" s="56"/>
      <c r="AK347" s="56"/>
    </row>
    <row r="348" spans="1:37" ht="30" customHeight="1" x14ac:dyDescent="0.25">
      <c r="H348" s="3" t="s">
        <v>623</v>
      </c>
    </row>
  </sheetData>
  <conditionalFormatting sqref="X327:AK347 X326 Z326:AK326 X2:AK325">
    <cfRule type="cellIs" priority="18" stopIfTrue="1" operator="equal">
      <formula>"Yes"</formula>
    </cfRule>
  </conditionalFormatting>
  <conditionalFormatting sqref="C328:C330">
    <cfRule type="duplicateValues" dxfId="61" priority="6"/>
    <cfRule type="duplicateValues" dxfId="60" priority="7"/>
  </conditionalFormatting>
  <conditionalFormatting sqref="C328:C330">
    <cfRule type="duplicateValues" dxfId="59" priority="8"/>
  </conditionalFormatting>
  <conditionalFormatting sqref="C328">
    <cfRule type="duplicateValues" dxfId="58" priority="5"/>
  </conditionalFormatting>
  <conditionalFormatting sqref="C328">
    <cfRule type="duplicateValues" dxfId="57" priority="4"/>
  </conditionalFormatting>
  <conditionalFormatting sqref="C329">
    <cfRule type="duplicateValues" dxfId="56" priority="2"/>
    <cfRule type="duplicateValues" dxfId="55" priority="3"/>
  </conditionalFormatting>
  <conditionalFormatting sqref="C330">
    <cfRule type="duplicateValues" dxfId="54" priority="1"/>
  </conditionalFormatting>
  <dataValidations count="2">
    <dataValidation type="list" allowBlank="1" showErrorMessage="1" sqref="Q327:Q330">
      <formula1>"PMU/PMC,TPI/TPA/TPE,Others"</formula1>
    </dataValidation>
    <dataValidation type="list" allowBlank="1" showInputMessage="1" showErrorMessage="1" sqref="V322:V323 V327:V330">
      <formula1>"Tender, Nomination"</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D20" sqref="D20"/>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0"/>
  <sheetViews>
    <sheetView workbookViewId="0">
      <selection sqref="A1:A1048576"/>
    </sheetView>
  </sheetViews>
  <sheetFormatPr defaultRowHeight="15" x14ac:dyDescent="0.25"/>
  <cols>
    <col min="1" max="1" width="49.7109375" style="52" customWidth="1"/>
    <col min="2" max="2" width="13.5703125" bestFit="1" customWidth="1"/>
    <col min="3" max="3" width="18.42578125" customWidth="1"/>
    <col min="4" max="4" width="52" style="21" customWidth="1"/>
    <col min="5" max="5" width="48" style="21" bestFit="1" customWidth="1"/>
    <col min="6" max="6" width="25.5703125" bestFit="1" customWidth="1"/>
    <col min="7" max="7" width="51.28515625" bestFit="1" customWidth="1"/>
    <col min="8" max="8" width="34.5703125" customWidth="1"/>
  </cols>
  <sheetData>
    <row r="1" spans="1:8" ht="15.75" x14ac:dyDescent="0.25">
      <c r="A1" s="4" t="s">
        <v>2</v>
      </c>
      <c r="B1" s="4" t="s">
        <v>3</v>
      </c>
      <c r="C1" s="4" t="s">
        <v>1284</v>
      </c>
      <c r="D1" s="5" t="s">
        <v>668</v>
      </c>
      <c r="E1" s="6" t="s">
        <v>669</v>
      </c>
      <c r="F1" s="7" t="s">
        <v>842</v>
      </c>
      <c r="G1" s="7" t="s">
        <v>1285</v>
      </c>
      <c r="H1" s="7" t="s">
        <v>1286</v>
      </c>
    </row>
    <row r="2" spans="1:8" ht="15.75" x14ac:dyDescent="0.25">
      <c r="A2" s="8" t="s">
        <v>681</v>
      </c>
      <c r="B2" s="9" t="s">
        <v>32</v>
      </c>
      <c r="C2" s="10" t="s">
        <v>864</v>
      </c>
      <c r="D2" s="8"/>
      <c r="E2" s="11"/>
      <c r="F2" s="9" t="s">
        <v>843</v>
      </c>
      <c r="G2" s="12" t="s">
        <v>855</v>
      </c>
      <c r="H2" s="9" t="s">
        <v>855</v>
      </c>
    </row>
    <row r="3" spans="1:8" ht="31.5" x14ac:dyDescent="0.25">
      <c r="A3" s="8" t="s">
        <v>325</v>
      </c>
      <c r="B3" s="9" t="s">
        <v>33</v>
      </c>
      <c r="C3" s="10" t="s">
        <v>864</v>
      </c>
      <c r="D3" s="13" t="s">
        <v>1287</v>
      </c>
      <c r="E3" s="13" t="s">
        <v>766</v>
      </c>
      <c r="F3" s="9" t="s">
        <v>843</v>
      </c>
      <c r="G3" s="12" t="s">
        <v>856</v>
      </c>
      <c r="H3" s="14" t="s">
        <v>886</v>
      </c>
    </row>
    <row r="4" spans="1:8" ht="15.75" x14ac:dyDescent="0.25">
      <c r="A4" s="8" t="s">
        <v>681</v>
      </c>
      <c r="B4" s="9" t="s">
        <v>34</v>
      </c>
      <c r="C4" s="10" t="s">
        <v>864</v>
      </c>
      <c r="D4" s="8"/>
      <c r="E4" s="11"/>
      <c r="F4" s="9" t="s">
        <v>843</v>
      </c>
      <c r="G4" s="12" t="s">
        <v>855</v>
      </c>
      <c r="H4" s="9" t="s">
        <v>855</v>
      </c>
    </row>
    <row r="5" spans="1:8" ht="31.5" x14ac:dyDescent="0.25">
      <c r="A5" s="15" t="s">
        <v>327</v>
      </c>
      <c r="B5" s="9" t="s">
        <v>35</v>
      </c>
      <c r="C5" s="10" t="s">
        <v>865</v>
      </c>
      <c r="D5" s="16" t="s">
        <v>670</v>
      </c>
      <c r="E5" s="11" t="s">
        <v>767</v>
      </c>
      <c r="F5" s="9"/>
      <c r="G5" s="16" t="s">
        <v>857</v>
      </c>
      <c r="H5" s="9" t="s">
        <v>887</v>
      </c>
    </row>
    <row r="6" spans="1:8" ht="31.5" x14ac:dyDescent="0.25">
      <c r="A6" s="15" t="s">
        <v>328</v>
      </c>
      <c r="B6" s="9" t="s">
        <v>36</v>
      </c>
      <c r="C6" s="10" t="s">
        <v>864</v>
      </c>
      <c r="D6" s="16"/>
      <c r="E6" s="11"/>
      <c r="F6" s="9"/>
      <c r="G6" s="16" t="s">
        <v>858</v>
      </c>
      <c r="H6" s="14" t="s">
        <v>886</v>
      </c>
    </row>
    <row r="7" spans="1:8" ht="15.75" x14ac:dyDescent="0.25">
      <c r="A7" s="14" t="s">
        <v>1288</v>
      </c>
      <c r="B7" s="9" t="s">
        <v>37</v>
      </c>
      <c r="C7" s="10" t="s">
        <v>866</v>
      </c>
      <c r="D7" s="14" t="s">
        <v>671</v>
      </c>
      <c r="E7" s="11" t="s">
        <v>768</v>
      </c>
      <c r="F7" s="9" t="s">
        <v>844</v>
      </c>
      <c r="G7" s="17" t="s">
        <v>859</v>
      </c>
      <c r="H7" s="14" t="s">
        <v>855</v>
      </c>
    </row>
    <row r="8" spans="1:8" ht="15.75" x14ac:dyDescent="0.25">
      <c r="A8" s="15" t="s">
        <v>330</v>
      </c>
      <c r="B8" s="9" t="s">
        <v>38</v>
      </c>
      <c r="C8" s="10" t="s">
        <v>864</v>
      </c>
      <c r="D8" s="16"/>
      <c r="E8" s="11"/>
      <c r="F8" s="9"/>
      <c r="G8" s="16" t="s">
        <v>860</v>
      </c>
      <c r="H8" s="9" t="s">
        <v>887</v>
      </c>
    </row>
    <row r="9" spans="1:8" ht="31.5" x14ac:dyDescent="0.25">
      <c r="A9" s="14" t="s">
        <v>1289</v>
      </c>
      <c r="B9" s="9" t="s">
        <v>39</v>
      </c>
      <c r="C9" s="10" t="s">
        <v>867</v>
      </c>
      <c r="D9" s="14" t="s">
        <v>672</v>
      </c>
      <c r="E9" s="11" t="s">
        <v>769</v>
      </c>
      <c r="F9" s="9" t="s">
        <v>769</v>
      </c>
      <c r="G9" s="17" t="s">
        <v>861</v>
      </c>
      <c r="H9" s="14" t="s">
        <v>887</v>
      </c>
    </row>
    <row r="10" spans="1:8" ht="31.5" x14ac:dyDescent="0.25">
      <c r="A10" s="18" t="s">
        <v>332</v>
      </c>
      <c r="B10" s="9" t="s">
        <v>40</v>
      </c>
      <c r="C10" s="10" t="s">
        <v>864</v>
      </c>
      <c r="D10" s="18"/>
      <c r="E10" s="11" t="s">
        <v>770</v>
      </c>
      <c r="F10" s="9" t="s">
        <v>843</v>
      </c>
      <c r="G10" s="17" t="s">
        <v>860</v>
      </c>
      <c r="H10" s="14" t="s">
        <v>887</v>
      </c>
    </row>
    <row r="11" spans="1:8" ht="31.5" x14ac:dyDescent="0.25">
      <c r="A11" s="19" t="s">
        <v>333</v>
      </c>
      <c r="B11" s="9" t="s">
        <v>41</v>
      </c>
      <c r="C11" s="10" t="s">
        <v>868</v>
      </c>
      <c r="D11" s="16"/>
      <c r="E11" s="11"/>
      <c r="F11" s="9"/>
      <c r="G11" s="16" t="s">
        <v>857</v>
      </c>
      <c r="H11" s="14" t="s">
        <v>887</v>
      </c>
    </row>
    <row r="12" spans="1:8" ht="47.25" x14ac:dyDescent="0.25">
      <c r="A12" s="14" t="s">
        <v>1290</v>
      </c>
      <c r="B12" s="9" t="s">
        <v>42</v>
      </c>
      <c r="C12" s="10" t="s">
        <v>864</v>
      </c>
      <c r="D12" s="20"/>
      <c r="E12" s="11" t="s">
        <v>771</v>
      </c>
      <c r="F12" s="9" t="s">
        <v>845</v>
      </c>
      <c r="G12" s="17" t="s">
        <v>858</v>
      </c>
      <c r="H12" s="14" t="s">
        <v>886</v>
      </c>
    </row>
    <row r="13" spans="1:8" ht="31.5" x14ac:dyDescent="0.25">
      <c r="A13" s="14" t="s">
        <v>335</v>
      </c>
      <c r="B13" s="9" t="s">
        <v>43</v>
      </c>
      <c r="C13" s="10" t="s">
        <v>864</v>
      </c>
      <c r="D13" s="14"/>
      <c r="E13" s="11" t="s">
        <v>765</v>
      </c>
      <c r="F13" s="9" t="s">
        <v>843</v>
      </c>
      <c r="G13" s="17" t="s">
        <v>862</v>
      </c>
      <c r="H13" s="14" t="s">
        <v>886</v>
      </c>
    </row>
    <row r="14" spans="1:8" ht="31.5" x14ac:dyDescent="0.25">
      <c r="A14" s="14" t="s">
        <v>1291</v>
      </c>
      <c r="B14" s="9" t="s">
        <v>44</v>
      </c>
      <c r="C14" s="10" t="s">
        <v>867</v>
      </c>
      <c r="D14" s="14"/>
      <c r="E14" s="14" t="s">
        <v>772</v>
      </c>
      <c r="F14" s="9" t="s">
        <v>846</v>
      </c>
      <c r="G14" s="17" t="s">
        <v>862</v>
      </c>
      <c r="H14" s="14" t="s">
        <v>886</v>
      </c>
    </row>
    <row r="15" spans="1:8" ht="15.75" x14ac:dyDescent="0.25">
      <c r="A15" s="14" t="s">
        <v>1292</v>
      </c>
      <c r="B15" s="9" t="s">
        <v>45</v>
      </c>
      <c r="C15" s="10" t="s">
        <v>864</v>
      </c>
      <c r="D15" s="14"/>
      <c r="E15" s="14" t="s">
        <v>773</v>
      </c>
      <c r="F15" s="9" t="s">
        <v>847</v>
      </c>
      <c r="G15" s="17" t="s">
        <v>861</v>
      </c>
      <c r="H15" s="14" t="s">
        <v>887</v>
      </c>
    </row>
    <row r="16" spans="1:8" ht="15.75" x14ac:dyDescent="0.25">
      <c r="A16" s="8" t="s">
        <v>1293</v>
      </c>
      <c r="B16" s="9" t="s">
        <v>46</v>
      </c>
      <c r="C16" s="10" t="s">
        <v>864</v>
      </c>
      <c r="D16" s="8"/>
      <c r="E16" s="11" t="s">
        <v>696</v>
      </c>
      <c r="F16" s="9" t="s">
        <v>843</v>
      </c>
      <c r="G16" s="12" t="s">
        <v>859</v>
      </c>
      <c r="H16" s="14" t="s">
        <v>887</v>
      </c>
    </row>
    <row r="17" spans="1:8" ht="15.75" x14ac:dyDescent="0.25">
      <c r="A17" s="8" t="s">
        <v>1294</v>
      </c>
      <c r="B17" s="9" t="s">
        <v>47</v>
      </c>
      <c r="C17" s="10" t="s">
        <v>864</v>
      </c>
      <c r="D17" s="8"/>
      <c r="E17" s="11" t="s">
        <v>696</v>
      </c>
      <c r="F17" s="9" t="s">
        <v>843</v>
      </c>
      <c r="G17" s="12" t="s">
        <v>859</v>
      </c>
      <c r="H17" s="14" t="s">
        <v>887</v>
      </c>
    </row>
    <row r="18" spans="1:8" ht="15.75" x14ac:dyDescent="0.25">
      <c r="A18" s="8" t="s">
        <v>1295</v>
      </c>
      <c r="B18" s="9" t="s">
        <v>48</v>
      </c>
      <c r="C18" s="10" t="s">
        <v>864</v>
      </c>
      <c r="D18" s="8"/>
      <c r="E18" s="11" t="s">
        <v>696</v>
      </c>
      <c r="F18" s="9" t="s">
        <v>843</v>
      </c>
      <c r="G18" s="12" t="s">
        <v>859</v>
      </c>
      <c r="H18" s="14" t="s">
        <v>887</v>
      </c>
    </row>
    <row r="19" spans="1:8" ht="31.5" x14ac:dyDescent="0.25">
      <c r="A19" s="8" t="s">
        <v>1296</v>
      </c>
      <c r="B19" s="9" t="s">
        <v>49</v>
      </c>
      <c r="C19" s="10" t="s">
        <v>864</v>
      </c>
      <c r="D19" s="8" t="s">
        <v>673</v>
      </c>
      <c r="E19" s="11" t="s">
        <v>774</v>
      </c>
      <c r="F19" s="9" t="s">
        <v>843</v>
      </c>
      <c r="G19" s="12" t="s">
        <v>856</v>
      </c>
      <c r="H19" s="14" t="s">
        <v>887</v>
      </c>
    </row>
    <row r="20" spans="1:8" ht="15.75" x14ac:dyDescent="0.25">
      <c r="A20" s="8" t="s">
        <v>1297</v>
      </c>
      <c r="B20" s="9" t="s">
        <v>50</v>
      </c>
      <c r="C20" s="10" t="s">
        <v>864</v>
      </c>
      <c r="D20" s="8"/>
      <c r="E20" s="8" t="s">
        <v>775</v>
      </c>
      <c r="F20" s="9" t="s">
        <v>847</v>
      </c>
      <c r="G20" s="12" t="s">
        <v>859</v>
      </c>
      <c r="H20" s="14" t="s">
        <v>887</v>
      </c>
    </row>
    <row r="21" spans="1:8" ht="31.5" x14ac:dyDescent="0.25">
      <c r="A21" s="8" t="s">
        <v>1298</v>
      </c>
      <c r="B21" s="9" t="s">
        <v>51</v>
      </c>
      <c r="C21" s="10" t="s">
        <v>869</v>
      </c>
      <c r="D21" s="8"/>
      <c r="E21" s="11" t="s">
        <v>776</v>
      </c>
      <c r="F21" s="9" t="s">
        <v>844</v>
      </c>
      <c r="G21" s="12" t="s">
        <v>859</v>
      </c>
      <c r="H21" s="14" t="s">
        <v>886</v>
      </c>
    </row>
    <row r="22" spans="1:8" ht="31.5" x14ac:dyDescent="0.25">
      <c r="A22" s="8" t="s">
        <v>1299</v>
      </c>
      <c r="B22" s="9" t="s">
        <v>52</v>
      </c>
      <c r="C22" s="10" t="s">
        <v>869</v>
      </c>
      <c r="D22" s="8" t="s">
        <v>674</v>
      </c>
      <c r="E22" s="11" t="s">
        <v>776</v>
      </c>
      <c r="F22" s="9" t="s">
        <v>844</v>
      </c>
      <c r="G22" s="12" t="s">
        <v>859</v>
      </c>
      <c r="H22" s="14" t="s">
        <v>886</v>
      </c>
    </row>
    <row r="23" spans="1:8" ht="15.75" x14ac:dyDescent="0.25">
      <c r="A23" s="8" t="s">
        <v>1300</v>
      </c>
      <c r="B23" s="9" t="s">
        <v>53</v>
      </c>
      <c r="C23" s="10" t="s">
        <v>869</v>
      </c>
      <c r="D23" s="8"/>
      <c r="E23" s="11" t="s">
        <v>776</v>
      </c>
      <c r="F23" s="9" t="s">
        <v>844</v>
      </c>
      <c r="G23" s="12" t="s">
        <v>859</v>
      </c>
      <c r="H23" s="14" t="s">
        <v>887</v>
      </c>
    </row>
    <row r="24" spans="1:8" ht="15.75" x14ac:dyDescent="0.25">
      <c r="A24" s="8" t="s">
        <v>1301</v>
      </c>
      <c r="B24" s="9" t="s">
        <v>54</v>
      </c>
      <c r="C24" s="10" t="s">
        <v>870</v>
      </c>
      <c r="D24" s="8"/>
      <c r="E24" s="11" t="s">
        <v>696</v>
      </c>
      <c r="F24" s="9" t="s">
        <v>843</v>
      </c>
      <c r="G24" s="12" t="s">
        <v>859</v>
      </c>
      <c r="H24" s="14" t="s">
        <v>887</v>
      </c>
    </row>
    <row r="25" spans="1:8" ht="15.75" x14ac:dyDescent="0.25">
      <c r="A25" s="8" t="s">
        <v>1302</v>
      </c>
      <c r="B25" s="9" t="s">
        <v>55</v>
      </c>
      <c r="C25" s="10" t="s">
        <v>864</v>
      </c>
      <c r="D25" s="8"/>
      <c r="E25" s="11" t="s">
        <v>696</v>
      </c>
      <c r="F25" s="9" t="s">
        <v>843</v>
      </c>
      <c r="G25" s="12" t="s">
        <v>859</v>
      </c>
      <c r="H25" s="14" t="s">
        <v>887</v>
      </c>
    </row>
    <row r="26" spans="1:8" ht="31.5" x14ac:dyDescent="0.25">
      <c r="A26" s="8" t="s">
        <v>1303</v>
      </c>
      <c r="B26" s="9" t="s">
        <v>56</v>
      </c>
      <c r="C26" s="10" t="s">
        <v>871</v>
      </c>
      <c r="D26" s="8"/>
      <c r="E26" s="11" t="s">
        <v>777</v>
      </c>
      <c r="F26" s="9" t="s">
        <v>844</v>
      </c>
      <c r="G26" s="12" t="s">
        <v>859</v>
      </c>
      <c r="H26" s="14" t="s">
        <v>887</v>
      </c>
    </row>
    <row r="27" spans="1:8" ht="15.75" x14ac:dyDescent="0.25">
      <c r="A27" s="8" t="s">
        <v>1304</v>
      </c>
      <c r="B27" s="9" t="s">
        <v>57</v>
      </c>
      <c r="C27" s="10" t="s">
        <v>864</v>
      </c>
      <c r="D27" s="8"/>
      <c r="E27" s="11" t="s">
        <v>778</v>
      </c>
      <c r="F27" s="9" t="s">
        <v>843</v>
      </c>
      <c r="G27" s="12" t="s">
        <v>859</v>
      </c>
      <c r="H27" s="14" t="s">
        <v>887</v>
      </c>
    </row>
    <row r="28" spans="1:8" ht="15.75" x14ac:dyDescent="0.25">
      <c r="A28" s="8" t="s">
        <v>1305</v>
      </c>
      <c r="B28" s="9" t="s">
        <v>58</v>
      </c>
      <c r="C28" s="10" t="s">
        <v>872</v>
      </c>
      <c r="D28" s="8"/>
      <c r="E28" s="11" t="s">
        <v>779</v>
      </c>
      <c r="F28" s="9" t="s">
        <v>844</v>
      </c>
      <c r="G28" s="12" t="s">
        <v>859</v>
      </c>
      <c r="H28" s="14" t="s">
        <v>887</v>
      </c>
    </row>
    <row r="29" spans="1:8" ht="31.5" x14ac:dyDescent="0.25">
      <c r="A29" s="8" t="s">
        <v>1306</v>
      </c>
      <c r="B29" s="9" t="s">
        <v>59</v>
      </c>
      <c r="C29" s="10" t="s">
        <v>867</v>
      </c>
      <c r="D29" s="8" t="s">
        <v>675</v>
      </c>
      <c r="E29" s="11" t="s">
        <v>780</v>
      </c>
      <c r="F29" s="9" t="s">
        <v>844</v>
      </c>
      <c r="G29" s="12" t="s">
        <v>859</v>
      </c>
      <c r="H29" s="14" t="s">
        <v>887</v>
      </c>
    </row>
    <row r="30" spans="1:8" ht="15.75" x14ac:dyDescent="0.25">
      <c r="A30" s="8" t="s">
        <v>1307</v>
      </c>
      <c r="B30" s="9" t="s">
        <v>60</v>
      </c>
      <c r="C30" s="10" t="s">
        <v>867</v>
      </c>
      <c r="D30" s="8" t="s">
        <v>675</v>
      </c>
      <c r="E30" s="11" t="s">
        <v>780</v>
      </c>
      <c r="F30" s="9" t="s">
        <v>844</v>
      </c>
      <c r="G30" s="12" t="s">
        <v>859</v>
      </c>
      <c r="H30" s="14" t="s">
        <v>887</v>
      </c>
    </row>
    <row r="31" spans="1:8" ht="15.75" x14ac:dyDescent="0.25">
      <c r="A31" s="8" t="s">
        <v>1308</v>
      </c>
      <c r="B31" s="9" t="s">
        <v>61</v>
      </c>
      <c r="C31" s="10" t="s">
        <v>867</v>
      </c>
      <c r="D31" s="8" t="s">
        <v>675</v>
      </c>
      <c r="E31" s="11" t="s">
        <v>780</v>
      </c>
      <c r="F31" s="9" t="s">
        <v>844</v>
      </c>
      <c r="G31" s="12" t="s">
        <v>857</v>
      </c>
      <c r="H31" s="14" t="s">
        <v>887</v>
      </c>
    </row>
    <row r="32" spans="1:8" ht="31.5" x14ac:dyDescent="0.25">
      <c r="A32" s="8" t="s">
        <v>1309</v>
      </c>
      <c r="B32" s="9" t="s">
        <v>62</v>
      </c>
      <c r="C32" s="10" t="s">
        <v>865</v>
      </c>
      <c r="D32" s="8" t="s">
        <v>676</v>
      </c>
      <c r="E32" s="11" t="s">
        <v>767</v>
      </c>
      <c r="F32" s="9" t="s">
        <v>844</v>
      </c>
      <c r="G32" s="12" t="s">
        <v>859</v>
      </c>
      <c r="H32" s="14" t="s">
        <v>887</v>
      </c>
    </row>
    <row r="33" spans="1:8" ht="15.75" x14ac:dyDescent="0.25">
      <c r="A33" s="8" t="s">
        <v>1310</v>
      </c>
      <c r="B33" s="9" t="s">
        <v>63</v>
      </c>
      <c r="C33" s="10" t="s">
        <v>870</v>
      </c>
      <c r="D33" s="8" t="s">
        <v>677</v>
      </c>
      <c r="E33" s="11" t="s">
        <v>781</v>
      </c>
      <c r="F33" s="9" t="s">
        <v>844</v>
      </c>
      <c r="G33" s="12" t="s">
        <v>859</v>
      </c>
      <c r="H33" s="14" t="s">
        <v>887</v>
      </c>
    </row>
    <row r="34" spans="1:8" ht="31.5" x14ac:dyDescent="0.25">
      <c r="A34" s="8" t="s">
        <v>1311</v>
      </c>
      <c r="B34" s="9" t="s">
        <v>64</v>
      </c>
      <c r="C34" s="10" t="s">
        <v>864</v>
      </c>
      <c r="D34" s="8"/>
      <c r="E34" s="11" t="s">
        <v>696</v>
      </c>
      <c r="F34" s="9" t="s">
        <v>843</v>
      </c>
      <c r="G34" s="12" t="s">
        <v>863</v>
      </c>
      <c r="H34" s="14" t="s">
        <v>886</v>
      </c>
    </row>
    <row r="35" spans="1:8" ht="15.75" x14ac:dyDescent="0.25">
      <c r="A35" s="8" t="s">
        <v>1312</v>
      </c>
      <c r="B35" s="9" t="s">
        <v>65</v>
      </c>
      <c r="C35" s="10" t="s">
        <v>864</v>
      </c>
      <c r="D35" s="8"/>
      <c r="E35" s="11" t="s">
        <v>782</v>
      </c>
      <c r="F35" s="9" t="s">
        <v>843</v>
      </c>
      <c r="G35" s="12" t="s">
        <v>857</v>
      </c>
      <c r="H35" s="14" t="s">
        <v>887</v>
      </c>
    </row>
    <row r="36" spans="1:8" ht="31.5" x14ac:dyDescent="0.25">
      <c r="A36" s="8" t="s">
        <v>1313</v>
      </c>
      <c r="B36" s="9" t="s">
        <v>66</v>
      </c>
      <c r="C36" s="10" t="s">
        <v>864</v>
      </c>
      <c r="D36" s="8"/>
      <c r="E36" s="11" t="s">
        <v>782</v>
      </c>
      <c r="F36" s="9" t="s">
        <v>843</v>
      </c>
      <c r="G36" s="12" t="s">
        <v>857</v>
      </c>
      <c r="H36" s="14" t="s">
        <v>887</v>
      </c>
    </row>
    <row r="37" spans="1:8" ht="15.75" x14ac:dyDescent="0.25">
      <c r="A37" s="8" t="s">
        <v>358</v>
      </c>
      <c r="B37" s="9" t="s">
        <v>67</v>
      </c>
      <c r="C37" s="10" t="s">
        <v>864</v>
      </c>
      <c r="D37" s="8"/>
      <c r="E37" s="11" t="s">
        <v>783</v>
      </c>
      <c r="F37" s="9" t="s">
        <v>843</v>
      </c>
      <c r="G37" s="12" t="s">
        <v>863</v>
      </c>
      <c r="H37" s="14" t="s">
        <v>888</v>
      </c>
    </row>
    <row r="38" spans="1:8" ht="31.5" x14ac:dyDescent="0.25">
      <c r="A38" s="8" t="s">
        <v>1314</v>
      </c>
      <c r="B38" s="9" t="s">
        <v>68</v>
      </c>
      <c r="C38" s="10" t="s">
        <v>864</v>
      </c>
      <c r="D38" s="8"/>
      <c r="E38" s="11" t="s">
        <v>695</v>
      </c>
      <c r="F38" s="9" t="s">
        <v>843</v>
      </c>
      <c r="G38" s="12" t="s">
        <v>863</v>
      </c>
      <c r="H38" s="14" t="s">
        <v>886</v>
      </c>
    </row>
    <row r="39" spans="1:8" ht="31.5" x14ac:dyDescent="0.25">
      <c r="A39" s="8" t="s">
        <v>1315</v>
      </c>
      <c r="B39" s="9" t="s">
        <v>69</v>
      </c>
      <c r="C39" s="10" t="s">
        <v>864</v>
      </c>
      <c r="D39" s="8"/>
      <c r="E39" s="11" t="s">
        <v>695</v>
      </c>
      <c r="F39" s="9" t="s">
        <v>843</v>
      </c>
      <c r="G39" s="12" t="s">
        <v>863</v>
      </c>
      <c r="H39" s="14" t="s">
        <v>888</v>
      </c>
    </row>
    <row r="40" spans="1:8" ht="31.5" x14ac:dyDescent="0.25">
      <c r="A40" s="8" t="s">
        <v>1316</v>
      </c>
      <c r="B40" s="9" t="s">
        <v>70</v>
      </c>
      <c r="C40" s="10" t="s">
        <v>864</v>
      </c>
      <c r="D40" s="8"/>
      <c r="E40" s="11" t="s">
        <v>695</v>
      </c>
      <c r="F40" s="9" t="s">
        <v>843</v>
      </c>
      <c r="G40" s="12" t="s">
        <v>863</v>
      </c>
      <c r="H40" s="14" t="s">
        <v>886</v>
      </c>
    </row>
    <row r="41" spans="1:8" ht="15.75" x14ac:dyDescent="0.25">
      <c r="A41" s="8" t="s">
        <v>1317</v>
      </c>
      <c r="B41" s="9" t="s">
        <v>71</v>
      </c>
      <c r="C41" s="10" t="s">
        <v>864</v>
      </c>
      <c r="D41" s="8"/>
      <c r="E41" s="11" t="s">
        <v>784</v>
      </c>
      <c r="F41" s="9" t="s">
        <v>843</v>
      </c>
      <c r="G41" s="12" t="s">
        <v>863</v>
      </c>
      <c r="H41" s="14" t="s">
        <v>887</v>
      </c>
    </row>
    <row r="42" spans="1:8" ht="31.5" x14ac:dyDescent="0.25">
      <c r="A42" s="8" t="s">
        <v>363</v>
      </c>
      <c r="B42" s="9" t="s">
        <v>72</v>
      </c>
      <c r="C42" s="10" t="s">
        <v>864</v>
      </c>
      <c r="D42" s="8"/>
      <c r="E42" s="11" t="s">
        <v>784</v>
      </c>
      <c r="F42" s="9" t="s">
        <v>843</v>
      </c>
      <c r="G42" s="12" t="s">
        <v>863</v>
      </c>
      <c r="H42" s="14" t="s">
        <v>886</v>
      </c>
    </row>
    <row r="43" spans="1:8" ht="15.75" x14ac:dyDescent="0.25">
      <c r="A43" s="8" t="s">
        <v>1318</v>
      </c>
      <c r="B43" s="9" t="s">
        <v>73</v>
      </c>
      <c r="C43" s="10" t="s">
        <v>864</v>
      </c>
      <c r="D43" s="8"/>
      <c r="E43" s="11" t="s">
        <v>785</v>
      </c>
      <c r="F43" s="9" t="s">
        <v>843</v>
      </c>
      <c r="G43" s="12" t="s">
        <v>856</v>
      </c>
      <c r="H43" s="14" t="s">
        <v>887</v>
      </c>
    </row>
    <row r="44" spans="1:8" ht="31.5" x14ac:dyDescent="0.25">
      <c r="A44" s="8" t="s">
        <v>1319</v>
      </c>
      <c r="B44" s="9" t="s">
        <v>74</v>
      </c>
      <c r="C44" s="10" t="s">
        <v>864</v>
      </c>
      <c r="D44" s="8"/>
      <c r="E44" s="11" t="s">
        <v>786</v>
      </c>
      <c r="F44" s="9" t="s">
        <v>843</v>
      </c>
      <c r="G44" s="12" t="s">
        <v>857</v>
      </c>
      <c r="H44" s="14" t="s">
        <v>886</v>
      </c>
    </row>
    <row r="45" spans="1:8" ht="15.75" x14ac:dyDescent="0.25">
      <c r="A45" s="14" t="s">
        <v>366</v>
      </c>
      <c r="B45" s="9" t="s">
        <v>75</v>
      </c>
      <c r="C45" s="10" t="s">
        <v>865</v>
      </c>
      <c r="D45" s="14"/>
      <c r="E45" s="11" t="s">
        <v>787</v>
      </c>
      <c r="F45" s="9" t="s">
        <v>843</v>
      </c>
      <c r="G45" s="17" t="s">
        <v>858</v>
      </c>
      <c r="H45" s="14" t="s">
        <v>887</v>
      </c>
    </row>
    <row r="46" spans="1:8" ht="31.5" x14ac:dyDescent="0.25">
      <c r="A46" s="8" t="s">
        <v>1320</v>
      </c>
      <c r="B46" s="9" t="s">
        <v>76</v>
      </c>
      <c r="C46" s="10" t="s">
        <v>865</v>
      </c>
      <c r="D46" s="8"/>
      <c r="E46" s="11" t="s">
        <v>767</v>
      </c>
      <c r="F46" s="9" t="s">
        <v>844</v>
      </c>
      <c r="G46" s="12" t="s">
        <v>857</v>
      </c>
      <c r="H46" s="14" t="s">
        <v>887</v>
      </c>
    </row>
    <row r="47" spans="1:8" ht="31.5" x14ac:dyDescent="0.25">
      <c r="A47" s="8" t="s">
        <v>1321</v>
      </c>
      <c r="B47" s="9" t="s">
        <v>77</v>
      </c>
      <c r="C47" s="10" t="s">
        <v>864</v>
      </c>
      <c r="D47" s="8" t="s">
        <v>678</v>
      </c>
      <c r="E47" s="11" t="s">
        <v>788</v>
      </c>
      <c r="F47" s="9" t="s">
        <v>843</v>
      </c>
      <c r="G47" s="12" t="s">
        <v>857</v>
      </c>
      <c r="H47" s="14" t="s">
        <v>887</v>
      </c>
    </row>
    <row r="48" spans="1:8" ht="15.75" x14ac:dyDescent="0.25">
      <c r="A48" s="8" t="s">
        <v>1322</v>
      </c>
      <c r="B48" s="9" t="s">
        <v>78</v>
      </c>
      <c r="C48" s="10" t="s">
        <v>870</v>
      </c>
      <c r="D48" s="8" t="s">
        <v>679</v>
      </c>
      <c r="E48" s="11" t="s">
        <v>781</v>
      </c>
      <c r="F48" s="9" t="s">
        <v>844</v>
      </c>
      <c r="G48" s="12" t="s">
        <v>863</v>
      </c>
      <c r="H48" s="14" t="s">
        <v>887</v>
      </c>
    </row>
    <row r="49" spans="1:8" ht="15.75" x14ac:dyDescent="0.25">
      <c r="A49" s="8" t="s">
        <v>370</v>
      </c>
      <c r="B49" s="9" t="s">
        <v>79</v>
      </c>
      <c r="C49" s="10" t="s">
        <v>864</v>
      </c>
      <c r="D49" s="8"/>
      <c r="E49" s="11" t="s">
        <v>789</v>
      </c>
      <c r="F49" s="9" t="s">
        <v>843</v>
      </c>
      <c r="G49" s="12" t="s">
        <v>863</v>
      </c>
      <c r="H49" s="14" t="s">
        <v>887</v>
      </c>
    </row>
    <row r="50" spans="1:8" ht="31.5" x14ac:dyDescent="0.25">
      <c r="A50" s="8" t="s">
        <v>1323</v>
      </c>
      <c r="B50" s="9" t="s">
        <v>80</v>
      </c>
      <c r="C50" s="10" t="s">
        <v>868</v>
      </c>
      <c r="D50" s="8"/>
      <c r="E50" s="11" t="s">
        <v>790</v>
      </c>
      <c r="F50" s="9" t="s">
        <v>843</v>
      </c>
      <c r="G50" s="12" t="s">
        <v>860</v>
      </c>
      <c r="H50" s="14" t="s">
        <v>887</v>
      </c>
    </row>
    <row r="51" spans="1:8" ht="31.5" x14ac:dyDescent="0.25">
      <c r="A51" s="14" t="s">
        <v>372</v>
      </c>
      <c r="B51" s="9" t="s">
        <v>81</v>
      </c>
      <c r="C51" s="10" t="s">
        <v>864</v>
      </c>
      <c r="D51" s="14" t="s">
        <v>680</v>
      </c>
      <c r="E51" s="11" t="s">
        <v>691</v>
      </c>
      <c r="F51" s="9" t="s">
        <v>843</v>
      </c>
      <c r="G51" s="17" t="s">
        <v>856</v>
      </c>
      <c r="H51" s="14" t="s">
        <v>886</v>
      </c>
    </row>
    <row r="52" spans="1:8" ht="31.5" x14ac:dyDescent="0.25">
      <c r="A52" s="8" t="s">
        <v>1324</v>
      </c>
      <c r="B52" s="9" t="s">
        <v>82</v>
      </c>
      <c r="C52" s="10" t="s">
        <v>864</v>
      </c>
      <c r="D52" s="8"/>
      <c r="E52" s="11" t="s">
        <v>691</v>
      </c>
      <c r="F52" s="9" t="s">
        <v>843</v>
      </c>
      <c r="G52" s="12" t="s">
        <v>856</v>
      </c>
      <c r="H52" s="14" t="s">
        <v>887</v>
      </c>
    </row>
    <row r="53" spans="1:8" ht="31.5" x14ac:dyDescent="0.25">
      <c r="A53" s="8" t="s">
        <v>1325</v>
      </c>
      <c r="B53" s="9" t="s">
        <v>83</v>
      </c>
      <c r="C53" s="10" t="s">
        <v>864</v>
      </c>
      <c r="D53" s="8"/>
      <c r="E53" s="11" t="s">
        <v>791</v>
      </c>
      <c r="F53" s="9" t="s">
        <v>843</v>
      </c>
      <c r="G53" s="12" t="s">
        <v>863</v>
      </c>
      <c r="H53" s="14" t="s">
        <v>887</v>
      </c>
    </row>
    <row r="54" spans="1:8" ht="15.75" x14ac:dyDescent="0.25">
      <c r="A54" s="8" t="s">
        <v>375</v>
      </c>
      <c r="B54" s="9" t="s">
        <v>84</v>
      </c>
      <c r="C54" s="10" t="s">
        <v>864</v>
      </c>
      <c r="D54" s="8"/>
      <c r="E54" s="11" t="s">
        <v>792</v>
      </c>
      <c r="F54" s="9" t="s">
        <v>848</v>
      </c>
      <c r="G54" s="12" t="s">
        <v>856</v>
      </c>
      <c r="H54" s="14" t="s">
        <v>887</v>
      </c>
    </row>
    <row r="55" spans="1:8" ht="31.5" x14ac:dyDescent="0.25">
      <c r="A55" s="8" t="s">
        <v>1326</v>
      </c>
      <c r="B55" s="9" t="s">
        <v>85</v>
      </c>
      <c r="C55" s="10" t="s">
        <v>864</v>
      </c>
      <c r="D55" s="8"/>
      <c r="E55" s="11" t="s">
        <v>696</v>
      </c>
      <c r="F55" s="9" t="s">
        <v>843</v>
      </c>
      <c r="G55" s="12" t="s">
        <v>857</v>
      </c>
      <c r="H55" s="14" t="s">
        <v>887</v>
      </c>
    </row>
    <row r="56" spans="1:8" ht="15.75" x14ac:dyDescent="0.25">
      <c r="A56" s="8" t="s">
        <v>681</v>
      </c>
      <c r="B56" s="9" t="s">
        <v>86</v>
      </c>
      <c r="C56" s="10" t="s">
        <v>864</v>
      </c>
      <c r="D56" s="8" t="s">
        <v>681</v>
      </c>
      <c r="E56" s="11"/>
      <c r="F56" s="9" t="s">
        <v>843</v>
      </c>
      <c r="G56" s="12" t="s">
        <v>855</v>
      </c>
      <c r="H56" s="9" t="s">
        <v>855</v>
      </c>
    </row>
    <row r="57" spans="1:8" ht="31.5" x14ac:dyDescent="0.25">
      <c r="A57" s="8" t="s">
        <v>1327</v>
      </c>
      <c r="B57" s="9" t="s">
        <v>87</v>
      </c>
      <c r="C57" s="10" t="s">
        <v>864</v>
      </c>
      <c r="D57" s="8"/>
      <c r="E57" s="11" t="s">
        <v>783</v>
      </c>
      <c r="F57" s="9" t="s">
        <v>843</v>
      </c>
      <c r="G57" s="12" t="s">
        <v>861</v>
      </c>
      <c r="H57" s="14" t="s">
        <v>887</v>
      </c>
    </row>
    <row r="58" spans="1:8" ht="15.75" x14ac:dyDescent="0.25">
      <c r="A58" s="8" t="s">
        <v>1328</v>
      </c>
      <c r="B58" s="9" t="s">
        <v>88</v>
      </c>
      <c r="C58" s="10" t="s">
        <v>864</v>
      </c>
      <c r="D58" s="8"/>
      <c r="E58" s="11" t="s">
        <v>793</v>
      </c>
      <c r="F58" s="9" t="s">
        <v>843</v>
      </c>
      <c r="G58" s="12" t="s">
        <v>859</v>
      </c>
      <c r="H58" s="14" t="s">
        <v>887</v>
      </c>
    </row>
    <row r="59" spans="1:8" ht="31.5" x14ac:dyDescent="0.25">
      <c r="A59" s="8" t="s">
        <v>1329</v>
      </c>
      <c r="B59" s="9" t="s">
        <v>89</v>
      </c>
      <c r="C59" s="10" t="s">
        <v>864</v>
      </c>
      <c r="D59" s="8"/>
      <c r="E59" s="11" t="s">
        <v>782</v>
      </c>
      <c r="F59" s="9" t="s">
        <v>843</v>
      </c>
      <c r="G59" s="12" t="s">
        <v>857</v>
      </c>
      <c r="H59" s="14" t="s">
        <v>887</v>
      </c>
    </row>
    <row r="60" spans="1:8" ht="15.75" x14ac:dyDescent="0.25">
      <c r="A60" s="8" t="s">
        <v>1330</v>
      </c>
      <c r="B60" s="9" t="s">
        <v>90</v>
      </c>
      <c r="C60" s="10" t="s">
        <v>864</v>
      </c>
      <c r="D60" s="8"/>
      <c r="E60" s="11" t="s">
        <v>794</v>
      </c>
      <c r="F60" s="9" t="s">
        <v>843</v>
      </c>
      <c r="G60" s="12" t="s">
        <v>863</v>
      </c>
      <c r="H60" s="14" t="s">
        <v>888</v>
      </c>
    </row>
    <row r="61" spans="1:8" ht="31.5" x14ac:dyDescent="0.25">
      <c r="A61" s="14" t="s">
        <v>382</v>
      </c>
      <c r="B61" s="9" t="s">
        <v>91</v>
      </c>
      <c r="C61" s="10" t="s">
        <v>864</v>
      </c>
      <c r="D61" s="14" t="s">
        <v>682</v>
      </c>
      <c r="E61" s="11" t="s">
        <v>795</v>
      </c>
      <c r="F61" s="9" t="s">
        <v>843</v>
      </c>
      <c r="G61" s="17" t="s">
        <v>863</v>
      </c>
      <c r="H61" s="14" t="s">
        <v>887</v>
      </c>
    </row>
    <row r="62" spans="1:8" ht="31.5" x14ac:dyDescent="0.25">
      <c r="A62" s="14" t="s">
        <v>383</v>
      </c>
      <c r="B62" s="9" t="s">
        <v>92</v>
      </c>
      <c r="C62" s="10" t="s">
        <v>864</v>
      </c>
      <c r="D62" s="14"/>
      <c r="E62" s="11" t="s">
        <v>796</v>
      </c>
      <c r="F62" s="9" t="s">
        <v>843</v>
      </c>
      <c r="G62" s="17" t="s">
        <v>856</v>
      </c>
      <c r="H62" s="14" t="s">
        <v>886</v>
      </c>
    </row>
    <row r="63" spans="1:8" ht="47.25" x14ac:dyDescent="0.25">
      <c r="A63" s="8" t="s">
        <v>1331</v>
      </c>
      <c r="B63" s="9" t="s">
        <v>93</v>
      </c>
      <c r="C63" s="10" t="s">
        <v>864</v>
      </c>
      <c r="D63" s="8"/>
      <c r="E63" s="11" t="s">
        <v>695</v>
      </c>
      <c r="F63" s="9" t="s">
        <v>843</v>
      </c>
      <c r="G63" s="12" t="s">
        <v>863</v>
      </c>
      <c r="H63" s="14" t="s">
        <v>886</v>
      </c>
    </row>
    <row r="64" spans="1:8" ht="15.75" x14ac:dyDescent="0.25">
      <c r="A64" s="8" t="s">
        <v>1332</v>
      </c>
      <c r="B64" s="9" t="s">
        <v>94</v>
      </c>
      <c r="C64" s="10" t="s">
        <v>864</v>
      </c>
      <c r="D64" s="8"/>
      <c r="E64" s="11" t="s">
        <v>797</v>
      </c>
      <c r="F64" s="9" t="s">
        <v>843</v>
      </c>
      <c r="G64" s="12" t="s">
        <v>858</v>
      </c>
      <c r="H64" s="14" t="s">
        <v>887</v>
      </c>
    </row>
    <row r="65" spans="1:8" ht="31.5" x14ac:dyDescent="0.25">
      <c r="A65" s="8" t="s">
        <v>1333</v>
      </c>
      <c r="B65" s="9" t="s">
        <v>95</v>
      </c>
      <c r="C65" s="11" t="s">
        <v>873</v>
      </c>
      <c r="D65" s="8"/>
      <c r="E65" s="11" t="s">
        <v>798</v>
      </c>
      <c r="F65" s="9" t="s">
        <v>844</v>
      </c>
      <c r="G65" s="12" t="s">
        <v>859</v>
      </c>
      <c r="H65" s="14" t="s">
        <v>886</v>
      </c>
    </row>
    <row r="66" spans="1:8" ht="31.5" x14ac:dyDescent="0.25">
      <c r="A66" s="14" t="s">
        <v>1334</v>
      </c>
      <c r="B66" s="9" t="s">
        <v>96</v>
      </c>
      <c r="C66" s="10" t="s">
        <v>874</v>
      </c>
      <c r="D66" s="14" t="s">
        <v>683</v>
      </c>
      <c r="E66" s="11" t="s">
        <v>799</v>
      </c>
      <c r="F66" s="9" t="s">
        <v>844</v>
      </c>
      <c r="G66" s="17" t="s">
        <v>860</v>
      </c>
      <c r="H66" s="14" t="s">
        <v>887</v>
      </c>
    </row>
    <row r="67" spans="1:8" ht="47.25" x14ac:dyDescent="0.25">
      <c r="A67" s="8" t="s">
        <v>1335</v>
      </c>
      <c r="B67" s="9" t="s">
        <v>97</v>
      </c>
      <c r="C67" s="10" t="s">
        <v>864</v>
      </c>
      <c r="D67" s="8" t="s">
        <v>684</v>
      </c>
      <c r="E67" s="11"/>
      <c r="F67" s="9" t="s">
        <v>849</v>
      </c>
      <c r="G67" s="12" t="s">
        <v>861</v>
      </c>
      <c r="H67" s="14" t="s">
        <v>887</v>
      </c>
    </row>
    <row r="68" spans="1:8" ht="15.75" x14ac:dyDescent="0.25">
      <c r="A68" s="8" t="s">
        <v>681</v>
      </c>
      <c r="B68" s="9" t="s">
        <v>98</v>
      </c>
      <c r="C68" s="10" t="s">
        <v>864</v>
      </c>
      <c r="D68" s="8" t="s">
        <v>681</v>
      </c>
      <c r="E68" s="11"/>
      <c r="F68" s="9" t="s">
        <v>843</v>
      </c>
      <c r="G68" s="12" t="s">
        <v>855</v>
      </c>
      <c r="H68" s="9" t="s">
        <v>855</v>
      </c>
    </row>
    <row r="69" spans="1:8" ht="31.5" x14ac:dyDescent="0.25">
      <c r="A69" s="14" t="s">
        <v>1336</v>
      </c>
      <c r="B69" s="9" t="s">
        <v>99</v>
      </c>
      <c r="C69" s="10" t="s">
        <v>864</v>
      </c>
      <c r="D69" s="14" t="s">
        <v>680</v>
      </c>
      <c r="E69" s="11" t="s">
        <v>691</v>
      </c>
      <c r="F69" s="9" t="s">
        <v>843</v>
      </c>
      <c r="G69" s="17" t="s">
        <v>856</v>
      </c>
      <c r="H69" s="14" t="s">
        <v>887</v>
      </c>
    </row>
    <row r="70" spans="1:8" ht="31.5" x14ac:dyDescent="0.25">
      <c r="A70" s="8" t="s">
        <v>1337</v>
      </c>
      <c r="B70" s="9" t="s">
        <v>100</v>
      </c>
      <c r="C70" s="10" t="s">
        <v>864</v>
      </c>
      <c r="D70" s="8"/>
      <c r="E70" s="11" t="s">
        <v>795</v>
      </c>
      <c r="F70" s="9" t="s">
        <v>843</v>
      </c>
      <c r="G70" s="12" t="s">
        <v>863</v>
      </c>
      <c r="H70" s="14" t="s">
        <v>887</v>
      </c>
    </row>
    <row r="71" spans="1:8" ht="15.75" x14ac:dyDescent="0.25">
      <c r="A71" s="8" t="s">
        <v>1338</v>
      </c>
      <c r="B71" s="9" t="s">
        <v>101</v>
      </c>
      <c r="C71" s="10" t="s">
        <v>864</v>
      </c>
      <c r="D71" s="8"/>
      <c r="E71" s="11" t="s">
        <v>800</v>
      </c>
      <c r="F71" s="9" t="s">
        <v>843</v>
      </c>
      <c r="G71" s="12" t="s">
        <v>858</v>
      </c>
      <c r="H71" s="14" t="s">
        <v>887</v>
      </c>
    </row>
    <row r="72" spans="1:8" ht="15.75" x14ac:dyDescent="0.25">
      <c r="A72" s="8" t="s">
        <v>1339</v>
      </c>
      <c r="B72" s="9" t="s">
        <v>102</v>
      </c>
      <c r="C72" s="10" t="s">
        <v>864</v>
      </c>
      <c r="D72" s="8"/>
      <c r="E72" s="11" t="s">
        <v>778</v>
      </c>
      <c r="F72" s="9" t="s">
        <v>843</v>
      </c>
      <c r="G72" s="12" t="s">
        <v>859</v>
      </c>
      <c r="H72" s="14" t="s">
        <v>887</v>
      </c>
    </row>
    <row r="73" spans="1:8" ht="31.5" x14ac:dyDescent="0.25">
      <c r="A73" s="8" t="s">
        <v>1340</v>
      </c>
      <c r="B73" s="9" t="s">
        <v>103</v>
      </c>
      <c r="C73" s="10" t="s">
        <v>864</v>
      </c>
      <c r="D73" s="8"/>
      <c r="E73" s="11" t="s">
        <v>784</v>
      </c>
      <c r="F73" s="9" t="s">
        <v>843</v>
      </c>
      <c r="G73" s="12" t="s">
        <v>863</v>
      </c>
      <c r="H73" s="14" t="s">
        <v>886</v>
      </c>
    </row>
    <row r="74" spans="1:8" ht="15.75" x14ac:dyDescent="0.25">
      <c r="A74" s="8" t="s">
        <v>395</v>
      </c>
      <c r="B74" s="9" t="s">
        <v>104</v>
      </c>
      <c r="C74" s="10" t="s">
        <v>865</v>
      </c>
      <c r="D74" s="8"/>
      <c r="E74" s="11" t="s">
        <v>767</v>
      </c>
      <c r="F74" s="9" t="s">
        <v>844</v>
      </c>
      <c r="G74" s="12" t="s">
        <v>859</v>
      </c>
      <c r="H74" s="14" t="s">
        <v>887</v>
      </c>
    </row>
    <row r="75" spans="1:8" ht="31.5" x14ac:dyDescent="0.25">
      <c r="A75" s="8" t="s">
        <v>1341</v>
      </c>
      <c r="B75" s="9" t="s">
        <v>105</v>
      </c>
      <c r="C75" s="10" t="s">
        <v>866</v>
      </c>
      <c r="D75" s="8"/>
      <c r="E75" s="11" t="s">
        <v>768</v>
      </c>
      <c r="F75" s="9" t="s">
        <v>844</v>
      </c>
      <c r="G75" s="12" t="s">
        <v>859</v>
      </c>
      <c r="H75" s="14" t="s">
        <v>887</v>
      </c>
    </row>
    <row r="76" spans="1:8" ht="31.5" x14ac:dyDescent="0.25">
      <c r="A76" s="8" t="s">
        <v>1342</v>
      </c>
      <c r="B76" s="9" t="s">
        <v>106</v>
      </c>
      <c r="C76" s="10" t="s">
        <v>875</v>
      </c>
      <c r="D76" s="8"/>
      <c r="E76" s="11" t="s">
        <v>801</v>
      </c>
      <c r="F76" s="9" t="s">
        <v>844</v>
      </c>
      <c r="G76" s="12" t="s">
        <v>859</v>
      </c>
      <c r="H76" s="14" t="s">
        <v>887</v>
      </c>
    </row>
    <row r="77" spans="1:8" ht="15.75" x14ac:dyDescent="0.25">
      <c r="A77" s="8" t="s">
        <v>681</v>
      </c>
      <c r="B77" s="9" t="s">
        <v>107</v>
      </c>
      <c r="C77" s="10" t="s">
        <v>864</v>
      </c>
      <c r="D77" s="8" t="s">
        <v>681</v>
      </c>
      <c r="E77" s="11"/>
      <c r="F77" s="9" t="s">
        <v>843</v>
      </c>
      <c r="G77" s="12" t="s">
        <v>855</v>
      </c>
      <c r="H77" s="9" t="s">
        <v>855</v>
      </c>
    </row>
    <row r="78" spans="1:8" ht="15.75" x14ac:dyDescent="0.25">
      <c r="A78" s="8" t="s">
        <v>1343</v>
      </c>
      <c r="B78" s="9" t="s">
        <v>108</v>
      </c>
      <c r="C78" s="10" t="s">
        <v>864</v>
      </c>
      <c r="D78" s="8" t="s">
        <v>685</v>
      </c>
      <c r="E78" s="11"/>
      <c r="F78" s="9" t="s">
        <v>843</v>
      </c>
      <c r="G78" s="12" t="s">
        <v>856</v>
      </c>
      <c r="H78" s="14" t="s">
        <v>888</v>
      </c>
    </row>
    <row r="79" spans="1:8" ht="31.5" x14ac:dyDescent="0.25">
      <c r="A79" s="8" t="s">
        <v>1344</v>
      </c>
      <c r="B79" s="9" t="s">
        <v>109</v>
      </c>
      <c r="C79" s="10" t="s">
        <v>864</v>
      </c>
      <c r="D79" s="8"/>
      <c r="E79" s="11" t="s">
        <v>691</v>
      </c>
      <c r="F79" s="9" t="s">
        <v>843</v>
      </c>
      <c r="G79" s="12" t="s">
        <v>855</v>
      </c>
      <c r="H79" s="14" t="s">
        <v>887</v>
      </c>
    </row>
    <row r="80" spans="1:8" ht="31.5" x14ac:dyDescent="0.25">
      <c r="A80" s="8" t="s">
        <v>401</v>
      </c>
      <c r="B80" s="9" t="s">
        <v>110</v>
      </c>
      <c r="C80" s="10" t="s">
        <v>864</v>
      </c>
      <c r="D80" s="8"/>
      <c r="E80" s="11" t="s">
        <v>796</v>
      </c>
      <c r="F80" s="9" t="s">
        <v>843</v>
      </c>
      <c r="G80" s="12" t="s">
        <v>856</v>
      </c>
      <c r="H80" s="14" t="s">
        <v>886</v>
      </c>
    </row>
    <row r="81" spans="1:8" ht="31.5" x14ac:dyDescent="0.25">
      <c r="A81" s="8" t="s">
        <v>1345</v>
      </c>
      <c r="B81" s="9" t="s">
        <v>111</v>
      </c>
      <c r="C81" s="10" t="s">
        <v>864</v>
      </c>
      <c r="D81" s="8"/>
      <c r="E81" s="11" t="s">
        <v>800</v>
      </c>
      <c r="F81" s="9" t="s">
        <v>843</v>
      </c>
      <c r="G81" s="12" t="s">
        <v>856</v>
      </c>
      <c r="H81" s="14" t="s">
        <v>886</v>
      </c>
    </row>
    <row r="82" spans="1:8" ht="15.75" x14ac:dyDescent="0.25">
      <c r="A82" s="8" t="s">
        <v>1346</v>
      </c>
      <c r="B82" s="9" t="s">
        <v>112</v>
      </c>
      <c r="C82" s="10" t="s">
        <v>864</v>
      </c>
      <c r="D82" s="8"/>
      <c r="E82" s="11" t="s">
        <v>802</v>
      </c>
      <c r="F82" s="9" t="s">
        <v>843</v>
      </c>
      <c r="G82" s="12" t="s">
        <v>858</v>
      </c>
      <c r="H82" s="14" t="s">
        <v>887</v>
      </c>
    </row>
    <row r="83" spans="1:8" ht="15.75" x14ac:dyDescent="0.25">
      <c r="A83" s="8" t="s">
        <v>1347</v>
      </c>
      <c r="B83" s="9" t="s">
        <v>113</v>
      </c>
      <c r="C83" s="10" t="s">
        <v>864</v>
      </c>
      <c r="D83" s="8"/>
      <c r="E83" s="11" t="s">
        <v>802</v>
      </c>
      <c r="F83" s="9" t="s">
        <v>843</v>
      </c>
      <c r="G83" s="12" t="s">
        <v>857</v>
      </c>
      <c r="H83" s="14" t="s">
        <v>887</v>
      </c>
    </row>
    <row r="84" spans="1:8" ht="31.5" x14ac:dyDescent="0.25">
      <c r="A84" s="14" t="s">
        <v>1348</v>
      </c>
      <c r="B84" s="9" t="s">
        <v>114</v>
      </c>
      <c r="C84" s="10" t="s">
        <v>865</v>
      </c>
      <c r="E84" s="14" t="s">
        <v>803</v>
      </c>
      <c r="F84" s="9" t="s">
        <v>849</v>
      </c>
      <c r="G84" s="17" t="s">
        <v>861</v>
      </c>
      <c r="H84" s="14" t="s">
        <v>887</v>
      </c>
    </row>
    <row r="85" spans="1:8" ht="31.5" x14ac:dyDescent="0.25">
      <c r="A85" s="8" t="s">
        <v>1349</v>
      </c>
      <c r="B85" s="9" t="s">
        <v>115</v>
      </c>
      <c r="C85" s="10" t="s">
        <v>864</v>
      </c>
      <c r="D85" s="8"/>
      <c r="E85" s="11" t="s">
        <v>696</v>
      </c>
      <c r="F85" s="9" t="s">
        <v>843</v>
      </c>
      <c r="G85" s="12" t="s">
        <v>859</v>
      </c>
      <c r="H85" s="14" t="s">
        <v>886</v>
      </c>
    </row>
    <row r="86" spans="1:8" ht="31.5" x14ac:dyDescent="0.25">
      <c r="A86" s="8" t="s">
        <v>1350</v>
      </c>
      <c r="B86" s="9" t="s">
        <v>116</v>
      </c>
      <c r="C86" s="10" t="s">
        <v>864</v>
      </c>
      <c r="D86" s="8"/>
      <c r="E86" s="11" t="s">
        <v>696</v>
      </c>
      <c r="F86" s="9" t="s">
        <v>843</v>
      </c>
      <c r="G86" s="12" t="s">
        <v>863</v>
      </c>
      <c r="H86" s="14" t="s">
        <v>886</v>
      </c>
    </row>
    <row r="87" spans="1:8" ht="31.5" x14ac:dyDescent="0.25">
      <c r="A87" s="8" t="s">
        <v>408</v>
      </c>
      <c r="B87" s="9" t="s">
        <v>117</v>
      </c>
      <c r="C87" s="11" t="s">
        <v>864</v>
      </c>
      <c r="D87" s="14"/>
      <c r="E87" s="11" t="s">
        <v>796</v>
      </c>
      <c r="F87" s="8" t="s">
        <v>843</v>
      </c>
      <c r="G87" s="17" t="s">
        <v>856</v>
      </c>
      <c r="H87" s="14" t="s">
        <v>886</v>
      </c>
    </row>
    <row r="88" spans="1:8" ht="15.75" x14ac:dyDescent="0.25">
      <c r="A88" s="8" t="s">
        <v>1351</v>
      </c>
      <c r="B88" s="9" t="s">
        <v>118</v>
      </c>
      <c r="C88" s="10" t="s">
        <v>864</v>
      </c>
      <c r="D88" s="8" t="s">
        <v>686</v>
      </c>
      <c r="E88" s="11" t="s">
        <v>804</v>
      </c>
      <c r="F88" s="9" t="s">
        <v>843</v>
      </c>
      <c r="G88" s="12" t="s">
        <v>859</v>
      </c>
      <c r="H88" s="14" t="s">
        <v>887</v>
      </c>
    </row>
    <row r="89" spans="1:8" ht="15.75" x14ac:dyDescent="0.25">
      <c r="A89" s="8" t="s">
        <v>681</v>
      </c>
      <c r="B89" s="9" t="s">
        <v>1352</v>
      </c>
      <c r="C89" s="10" t="s">
        <v>864</v>
      </c>
      <c r="D89" s="8" t="s">
        <v>681</v>
      </c>
      <c r="E89" s="11"/>
      <c r="F89" s="9" t="s">
        <v>843</v>
      </c>
      <c r="G89" s="12" t="s">
        <v>855</v>
      </c>
      <c r="H89" s="9" t="s">
        <v>855</v>
      </c>
    </row>
    <row r="90" spans="1:8" ht="31.5" x14ac:dyDescent="0.25">
      <c r="A90" s="15" t="s">
        <v>410</v>
      </c>
      <c r="B90" s="9" t="s">
        <v>119</v>
      </c>
      <c r="C90" s="10" t="s">
        <v>864</v>
      </c>
      <c r="D90" s="16"/>
      <c r="E90" s="11"/>
      <c r="F90" s="9"/>
      <c r="G90" s="16" t="s">
        <v>856</v>
      </c>
      <c r="H90" s="14" t="s">
        <v>886</v>
      </c>
    </row>
    <row r="91" spans="1:8" ht="31.5" x14ac:dyDescent="0.25">
      <c r="A91" s="8" t="s">
        <v>411</v>
      </c>
      <c r="B91" s="9" t="s">
        <v>120</v>
      </c>
      <c r="C91" s="11" t="s">
        <v>864</v>
      </c>
      <c r="D91" s="14"/>
      <c r="E91" s="11" t="s">
        <v>789</v>
      </c>
      <c r="F91" s="8" t="s">
        <v>843</v>
      </c>
      <c r="G91" s="17" t="s">
        <v>856</v>
      </c>
      <c r="H91" s="14" t="s">
        <v>886</v>
      </c>
    </row>
    <row r="92" spans="1:8" ht="15.75" x14ac:dyDescent="0.25">
      <c r="A92" s="8" t="s">
        <v>1353</v>
      </c>
      <c r="B92" s="9" t="s">
        <v>121</v>
      </c>
      <c r="C92" s="10" t="s">
        <v>864</v>
      </c>
      <c r="D92" s="8"/>
      <c r="E92" s="11" t="s">
        <v>785</v>
      </c>
      <c r="F92" s="9" t="s">
        <v>843</v>
      </c>
      <c r="G92" s="12" t="s">
        <v>862</v>
      </c>
      <c r="H92" s="14" t="s">
        <v>888</v>
      </c>
    </row>
    <row r="93" spans="1:8" ht="31.5" x14ac:dyDescent="0.25">
      <c r="A93" s="8" t="s">
        <v>413</v>
      </c>
      <c r="B93" s="9" t="s">
        <v>122</v>
      </c>
      <c r="C93" s="10" t="s">
        <v>864</v>
      </c>
      <c r="D93" s="8"/>
      <c r="E93" s="11" t="s">
        <v>805</v>
      </c>
      <c r="F93" s="9" t="s">
        <v>843</v>
      </c>
      <c r="G93" s="12" t="s">
        <v>863</v>
      </c>
      <c r="H93" s="14" t="s">
        <v>886</v>
      </c>
    </row>
    <row r="94" spans="1:8" ht="15.75" x14ac:dyDescent="0.25">
      <c r="A94" s="8" t="s">
        <v>1354</v>
      </c>
      <c r="B94" s="9" t="s">
        <v>123</v>
      </c>
      <c r="C94" s="10" t="s">
        <v>864</v>
      </c>
      <c r="D94" s="8" t="s">
        <v>687</v>
      </c>
      <c r="E94" s="11" t="s">
        <v>806</v>
      </c>
      <c r="F94" s="9" t="s">
        <v>843</v>
      </c>
      <c r="G94" s="12" t="s">
        <v>863</v>
      </c>
      <c r="H94" s="14" t="s">
        <v>887</v>
      </c>
    </row>
    <row r="95" spans="1:8" ht="31.5" x14ac:dyDescent="0.25">
      <c r="A95" s="8" t="s">
        <v>415</v>
      </c>
      <c r="B95" s="9" t="s">
        <v>124</v>
      </c>
      <c r="C95" s="10" t="s">
        <v>864</v>
      </c>
      <c r="D95" s="11" t="s">
        <v>688</v>
      </c>
      <c r="E95" s="11" t="s">
        <v>766</v>
      </c>
      <c r="F95" s="9" t="s">
        <v>843</v>
      </c>
      <c r="G95" s="12" t="s">
        <v>857</v>
      </c>
      <c r="H95" s="14" t="s">
        <v>887</v>
      </c>
    </row>
    <row r="96" spans="1:8" ht="31.5" x14ac:dyDescent="0.25">
      <c r="A96" s="8" t="s">
        <v>1355</v>
      </c>
      <c r="B96" s="9" t="s">
        <v>125</v>
      </c>
      <c r="C96" s="10" t="s">
        <v>864</v>
      </c>
      <c r="D96" s="8"/>
      <c r="E96" s="11" t="s">
        <v>691</v>
      </c>
      <c r="F96" s="9" t="s">
        <v>843</v>
      </c>
      <c r="G96" s="12" t="s">
        <v>863</v>
      </c>
      <c r="H96" s="14" t="s">
        <v>886</v>
      </c>
    </row>
    <row r="97" spans="1:8" ht="31.5" x14ac:dyDescent="0.25">
      <c r="A97" s="8" t="s">
        <v>1356</v>
      </c>
      <c r="B97" s="9" t="s">
        <v>126</v>
      </c>
      <c r="C97" s="10" t="s">
        <v>864</v>
      </c>
      <c r="D97" s="8"/>
      <c r="E97" s="11" t="s">
        <v>778</v>
      </c>
      <c r="F97" s="9" t="s">
        <v>843</v>
      </c>
      <c r="G97" s="12" t="s">
        <v>857</v>
      </c>
      <c r="H97" s="14" t="s">
        <v>886</v>
      </c>
    </row>
    <row r="98" spans="1:8" ht="31.5" x14ac:dyDescent="0.25">
      <c r="A98" s="8" t="s">
        <v>1357</v>
      </c>
      <c r="B98" s="9" t="s">
        <v>127</v>
      </c>
      <c r="C98" s="10" t="s">
        <v>864</v>
      </c>
      <c r="D98" s="8"/>
      <c r="E98" s="11" t="s">
        <v>784</v>
      </c>
      <c r="F98" s="9" t="s">
        <v>843</v>
      </c>
      <c r="G98" s="12" t="s">
        <v>863</v>
      </c>
      <c r="H98" s="14" t="s">
        <v>886</v>
      </c>
    </row>
    <row r="99" spans="1:8" ht="15.75" x14ac:dyDescent="0.25">
      <c r="A99" s="8" t="s">
        <v>681</v>
      </c>
      <c r="B99" s="9" t="s">
        <v>128</v>
      </c>
      <c r="C99" s="10" t="s">
        <v>864</v>
      </c>
      <c r="D99" s="8" t="s">
        <v>681</v>
      </c>
      <c r="E99" s="11"/>
      <c r="F99" s="9" t="s">
        <v>843</v>
      </c>
      <c r="G99" s="12" t="s">
        <v>855</v>
      </c>
      <c r="H99" s="9" t="s">
        <v>855</v>
      </c>
    </row>
    <row r="100" spans="1:8" ht="15.75" x14ac:dyDescent="0.25">
      <c r="A100" s="8" t="s">
        <v>1358</v>
      </c>
      <c r="B100" s="9" t="s">
        <v>129</v>
      </c>
      <c r="C100" s="10" t="s">
        <v>870</v>
      </c>
      <c r="D100" s="8" t="s">
        <v>677</v>
      </c>
      <c r="E100" s="11" t="s">
        <v>781</v>
      </c>
      <c r="F100" s="9" t="s">
        <v>844</v>
      </c>
      <c r="G100" s="12" t="s">
        <v>859</v>
      </c>
      <c r="H100" s="14" t="s">
        <v>887</v>
      </c>
    </row>
    <row r="101" spans="1:8" ht="31.5" x14ac:dyDescent="0.25">
      <c r="A101" s="8" t="s">
        <v>421</v>
      </c>
      <c r="B101" s="9" t="s">
        <v>130</v>
      </c>
      <c r="C101" s="10" t="s">
        <v>864</v>
      </c>
      <c r="D101" s="8"/>
      <c r="E101" s="11" t="s">
        <v>800</v>
      </c>
      <c r="F101" s="9" t="s">
        <v>843</v>
      </c>
      <c r="G101" s="12" t="s">
        <v>856</v>
      </c>
      <c r="H101" s="14" t="s">
        <v>886</v>
      </c>
    </row>
    <row r="102" spans="1:8" ht="15.75" x14ac:dyDescent="0.25">
      <c r="A102" s="14" t="s">
        <v>1359</v>
      </c>
      <c r="B102" s="9" t="s">
        <v>131</v>
      </c>
      <c r="C102" s="10" t="s">
        <v>876</v>
      </c>
      <c r="D102" s="14" t="s">
        <v>689</v>
      </c>
      <c r="E102" s="11" t="s">
        <v>807</v>
      </c>
      <c r="F102" s="9" t="s">
        <v>844</v>
      </c>
      <c r="G102" s="17" t="s">
        <v>861</v>
      </c>
      <c r="H102" s="14" t="s">
        <v>887</v>
      </c>
    </row>
    <row r="103" spans="1:8" ht="31.5" x14ac:dyDescent="0.25">
      <c r="A103" s="14" t="s">
        <v>1360</v>
      </c>
      <c r="B103" s="9" t="s">
        <v>132</v>
      </c>
      <c r="C103" s="10" t="s">
        <v>868</v>
      </c>
      <c r="E103" s="14" t="s">
        <v>808</v>
      </c>
      <c r="F103" s="9" t="s">
        <v>849</v>
      </c>
      <c r="G103" s="17" t="s">
        <v>861</v>
      </c>
      <c r="H103" s="14" t="s">
        <v>887</v>
      </c>
    </row>
    <row r="104" spans="1:8" ht="31.5" x14ac:dyDescent="0.25">
      <c r="A104" s="8" t="s">
        <v>1361</v>
      </c>
      <c r="B104" s="9" t="s">
        <v>133</v>
      </c>
      <c r="C104" s="10" t="s">
        <v>869</v>
      </c>
      <c r="E104" s="8" t="s">
        <v>809</v>
      </c>
      <c r="F104" s="9" t="s">
        <v>849</v>
      </c>
      <c r="G104" s="12" t="s">
        <v>861</v>
      </c>
      <c r="H104" s="14" t="s">
        <v>887</v>
      </c>
    </row>
    <row r="105" spans="1:8" ht="15.75" x14ac:dyDescent="0.25">
      <c r="A105" s="18" t="s">
        <v>1362</v>
      </c>
      <c r="B105" s="9" t="s">
        <v>134</v>
      </c>
      <c r="C105" s="10" t="s">
        <v>864</v>
      </c>
      <c r="D105" s="18"/>
      <c r="E105" s="11" t="s">
        <v>804</v>
      </c>
      <c r="F105" s="9" t="s">
        <v>843</v>
      </c>
      <c r="G105" s="17" t="s">
        <v>859</v>
      </c>
      <c r="H105" s="14" t="s">
        <v>887</v>
      </c>
    </row>
    <row r="106" spans="1:8" ht="15.75" x14ac:dyDescent="0.25">
      <c r="A106" s="8" t="s">
        <v>1363</v>
      </c>
      <c r="B106" s="9" t="s">
        <v>135</v>
      </c>
      <c r="C106" s="10" t="s">
        <v>864</v>
      </c>
      <c r="D106" s="8"/>
      <c r="E106" s="11" t="s">
        <v>810</v>
      </c>
      <c r="F106" s="9" t="s">
        <v>843</v>
      </c>
      <c r="G106" s="12" t="s">
        <v>863</v>
      </c>
      <c r="H106" s="14" t="s">
        <v>888</v>
      </c>
    </row>
    <row r="107" spans="1:8" ht="31.5" x14ac:dyDescent="0.25">
      <c r="A107" s="8" t="s">
        <v>1364</v>
      </c>
      <c r="B107" s="9" t="s">
        <v>136</v>
      </c>
      <c r="C107" s="10" t="s">
        <v>864</v>
      </c>
      <c r="D107" s="8"/>
      <c r="E107" s="11" t="s">
        <v>696</v>
      </c>
      <c r="F107" s="9" t="s">
        <v>843</v>
      </c>
      <c r="G107" s="12" t="s">
        <v>859</v>
      </c>
      <c r="H107" s="14" t="s">
        <v>887</v>
      </c>
    </row>
    <row r="108" spans="1:8" ht="31.5" x14ac:dyDescent="0.25">
      <c r="A108" s="8" t="s">
        <v>1365</v>
      </c>
      <c r="B108" s="9" t="s">
        <v>137</v>
      </c>
      <c r="C108" s="10" t="s">
        <v>864</v>
      </c>
      <c r="D108" s="8"/>
      <c r="E108" s="11" t="s">
        <v>691</v>
      </c>
      <c r="F108" s="9" t="s">
        <v>843</v>
      </c>
      <c r="G108" s="12" t="s">
        <v>863</v>
      </c>
      <c r="H108" s="14" t="s">
        <v>886</v>
      </c>
    </row>
    <row r="109" spans="1:8" ht="31.5" x14ac:dyDescent="0.25">
      <c r="A109" s="8" t="s">
        <v>1366</v>
      </c>
      <c r="B109" s="9" t="s">
        <v>138</v>
      </c>
      <c r="C109" s="10" t="s">
        <v>864</v>
      </c>
      <c r="D109" s="8"/>
      <c r="E109" s="11" t="s">
        <v>691</v>
      </c>
      <c r="F109" s="9" t="s">
        <v>843</v>
      </c>
      <c r="G109" s="12" t="s">
        <v>863</v>
      </c>
      <c r="H109" s="14" t="s">
        <v>886</v>
      </c>
    </row>
    <row r="110" spans="1:8" ht="31.5" x14ac:dyDescent="0.25">
      <c r="A110" s="8" t="s">
        <v>430</v>
      </c>
      <c r="B110" s="9" t="s">
        <v>139</v>
      </c>
      <c r="C110" s="10" t="s">
        <v>864</v>
      </c>
      <c r="D110" s="8"/>
      <c r="E110" s="11" t="s">
        <v>811</v>
      </c>
      <c r="F110" s="9" t="s">
        <v>843</v>
      </c>
      <c r="G110" s="12" t="s">
        <v>863</v>
      </c>
      <c r="H110" s="14" t="s">
        <v>886</v>
      </c>
    </row>
    <row r="111" spans="1:8" ht="31.5" x14ac:dyDescent="0.25">
      <c r="A111" s="14" t="s">
        <v>431</v>
      </c>
      <c r="B111" s="9" t="s">
        <v>140</v>
      </c>
      <c r="C111" s="10" t="s">
        <v>864</v>
      </c>
      <c r="D111" s="14"/>
      <c r="E111" s="11" t="s">
        <v>696</v>
      </c>
      <c r="F111" s="9" t="s">
        <v>843</v>
      </c>
      <c r="G111" s="17" t="s">
        <v>863</v>
      </c>
      <c r="H111" s="14" t="s">
        <v>886</v>
      </c>
    </row>
    <row r="112" spans="1:8" ht="31.5" x14ac:dyDescent="0.25">
      <c r="A112" s="8" t="s">
        <v>1367</v>
      </c>
      <c r="B112" s="9" t="s">
        <v>141</v>
      </c>
      <c r="C112" s="10" t="s">
        <v>870</v>
      </c>
      <c r="D112" s="8" t="s">
        <v>690</v>
      </c>
      <c r="E112" s="11" t="s">
        <v>812</v>
      </c>
      <c r="F112" s="9" t="s">
        <v>843</v>
      </c>
      <c r="G112" s="12" t="s">
        <v>863</v>
      </c>
      <c r="H112" s="14" t="s">
        <v>887</v>
      </c>
    </row>
    <row r="113" spans="1:8" ht="31.5" x14ac:dyDescent="0.25">
      <c r="A113" s="8" t="s">
        <v>1368</v>
      </c>
      <c r="B113" s="9" t="s">
        <v>142</v>
      </c>
      <c r="C113" s="11" t="s">
        <v>864</v>
      </c>
      <c r="D113" s="8"/>
      <c r="E113" s="11" t="s">
        <v>789</v>
      </c>
      <c r="F113" s="9" t="s">
        <v>843</v>
      </c>
      <c r="G113" s="12" t="s">
        <v>863</v>
      </c>
      <c r="H113" s="14" t="s">
        <v>887</v>
      </c>
    </row>
    <row r="114" spans="1:8" ht="31.5" x14ac:dyDescent="0.25">
      <c r="A114" s="8" t="s">
        <v>1369</v>
      </c>
      <c r="B114" s="9" t="s">
        <v>143</v>
      </c>
      <c r="C114" s="10" t="s">
        <v>864</v>
      </c>
      <c r="D114" s="8"/>
      <c r="E114" s="11" t="s">
        <v>695</v>
      </c>
      <c r="F114" s="9" t="s">
        <v>843</v>
      </c>
      <c r="G114" s="12" t="s">
        <v>863</v>
      </c>
      <c r="H114" s="14" t="s">
        <v>886</v>
      </c>
    </row>
    <row r="115" spans="1:8" ht="15.75" x14ac:dyDescent="0.25">
      <c r="A115" s="8" t="s">
        <v>1370</v>
      </c>
      <c r="B115" s="9" t="s">
        <v>144</v>
      </c>
      <c r="C115" s="9" t="s">
        <v>864</v>
      </c>
      <c r="D115" s="8"/>
      <c r="E115" s="8" t="s">
        <v>765</v>
      </c>
      <c r="F115" s="9" t="s">
        <v>843</v>
      </c>
      <c r="G115" s="12" t="s">
        <v>862</v>
      </c>
      <c r="H115" s="14" t="s">
        <v>887</v>
      </c>
    </row>
    <row r="116" spans="1:8" ht="31.5" x14ac:dyDescent="0.25">
      <c r="A116" s="8" t="s">
        <v>1371</v>
      </c>
      <c r="B116" s="9" t="s">
        <v>145</v>
      </c>
      <c r="C116" s="10" t="s">
        <v>864</v>
      </c>
      <c r="D116" s="8"/>
      <c r="E116" s="11" t="s">
        <v>802</v>
      </c>
      <c r="F116" s="9" t="s">
        <v>843</v>
      </c>
      <c r="G116" s="12" t="s">
        <v>858</v>
      </c>
      <c r="H116" s="14" t="s">
        <v>887</v>
      </c>
    </row>
    <row r="117" spans="1:8" ht="15.75" x14ac:dyDescent="0.25">
      <c r="A117" s="18" t="s">
        <v>1372</v>
      </c>
      <c r="B117" s="9" t="s">
        <v>146</v>
      </c>
      <c r="C117" s="10" t="s">
        <v>864</v>
      </c>
      <c r="D117" s="18"/>
      <c r="E117" s="11" t="s">
        <v>707</v>
      </c>
      <c r="F117" s="9" t="s">
        <v>847</v>
      </c>
      <c r="G117" s="17" t="s">
        <v>860</v>
      </c>
      <c r="H117" s="14" t="s">
        <v>887</v>
      </c>
    </row>
    <row r="118" spans="1:8" ht="31.5" x14ac:dyDescent="0.25">
      <c r="A118" s="8" t="s">
        <v>1373</v>
      </c>
      <c r="B118" s="9" t="s">
        <v>147</v>
      </c>
      <c r="C118" s="10" t="s">
        <v>864</v>
      </c>
      <c r="D118" s="8"/>
      <c r="E118" s="11" t="s">
        <v>778</v>
      </c>
      <c r="F118" s="9" t="s">
        <v>843</v>
      </c>
      <c r="G118" s="12" t="s">
        <v>856</v>
      </c>
      <c r="H118" s="14" t="s">
        <v>886</v>
      </c>
    </row>
    <row r="119" spans="1:8" ht="15.75" x14ac:dyDescent="0.25">
      <c r="A119" s="8" t="s">
        <v>1374</v>
      </c>
      <c r="B119" s="9" t="s">
        <v>148</v>
      </c>
      <c r="C119" s="9" t="s">
        <v>864</v>
      </c>
      <c r="D119" s="8"/>
      <c r="E119" s="8" t="s">
        <v>696</v>
      </c>
      <c r="F119" s="9" t="s">
        <v>843</v>
      </c>
      <c r="G119" s="12" t="s">
        <v>859</v>
      </c>
      <c r="H119" s="14" t="s">
        <v>887</v>
      </c>
    </row>
    <row r="120" spans="1:8" ht="31.5" x14ac:dyDescent="0.25">
      <c r="A120" s="8" t="s">
        <v>441</v>
      </c>
      <c r="B120" s="9" t="s">
        <v>149</v>
      </c>
      <c r="C120" s="10" t="s">
        <v>864</v>
      </c>
      <c r="D120" s="11" t="s">
        <v>691</v>
      </c>
      <c r="E120" s="11" t="s">
        <v>766</v>
      </c>
      <c r="F120" s="9" t="s">
        <v>843</v>
      </c>
      <c r="G120" s="12" t="s">
        <v>856</v>
      </c>
      <c r="H120" s="14" t="s">
        <v>888</v>
      </c>
    </row>
    <row r="121" spans="1:8" ht="15.75" x14ac:dyDescent="0.25">
      <c r="A121" s="8" t="s">
        <v>1375</v>
      </c>
      <c r="B121" s="9" t="s">
        <v>150</v>
      </c>
      <c r="C121" s="10" t="s">
        <v>864</v>
      </c>
      <c r="D121" s="8"/>
      <c r="E121" s="11" t="s">
        <v>726</v>
      </c>
      <c r="F121" s="9" t="s">
        <v>843</v>
      </c>
      <c r="G121" s="12" t="s">
        <v>860</v>
      </c>
      <c r="H121" s="14" t="s">
        <v>887</v>
      </c>
    </row>
    <row r="122" spans="1:8" ht="15.75" x14ac:dyDescent="0.25">
      <c r="A122" s="8" t="s">
        <v>1376</v>
      </c>
      <c r="B122" s="9" t="s">
        <v>151</v>
      </c>
      <c r="C122" s="10" t="s">
        <v>876</v>
      </c>
      <c r="D122" s="8"/>
      <c r="E122" s="11" t="s">
        <v>813</v>
      </c>
      <c r="F122" s="22" t="s">
        <v>850</v>
      </c>
      <c r="G122" s="12" t="s">
        <v>861</v>
      </c>
      <c r="H122" s="14" t="s">
        <v>887</v>
      </c>
    </row>
    <row r="123" spans="1:8" ht="15.75" x14ac:dyDescent="0.25">
      <c r="A123" s="8" t="s">
        <v>1377</v>
      </c>
      <c r="B123" s="9" t="s">
        <v>152</v>
      </c>
      <c r="C123" s="10" t="s">
        <v>864</v>
      </c>
      <c r="D123" s="8" t="s">
        <v>692</v>
      </c>
      <c r="E123" s="11" t="s">
        <v>778</v>
      </c>
      <c r="F123" s="9" t="s">
        <v>843</v>
      </c>
      <c r="G123" s="12" t="s">
        <v>857</v>
      </c>
      <c r="H123" s="14" t="s">
        <v>887</v>
      </c>
    </row>
    <row r="124" spans="1:8" ht="15.75" x14ac:dyDescent="0.25">
      <c r="A124" s="8" t="s">
        <v>681</v>
      </c>
      <c r="B124" s="9" t="s">
        <v>153</v>
      </c>
      <c r="C124" s="10" t="s">
        <v>864</v>
      </c>
      <c r="D124" s="8" t="s">
        <v>681</v>
      </c>
      <c r="E124" s="11"/>
      <c r="F124" s="9" t="s">
        <v>843</v>
      </c>
      <c r="G124" s="12" t="s">
        <v>855</v>
      </c>
      <c r="H124" s="9" t="s">
        <v>855</v>
      </c>
    </row>
    <row r="125" spans="1:8" ht="31.5" x14ac:dyDescent="0.25">
      <c r="A125" s="8" t="s">
        <v>446</v>
      </c>
      <c r="B125" s="9" t="s">
        <v>154</v>
      </c>
      <c r="C125" s="10" t="s">
        <v>864</v>
      </c>
      <c r="D125" s="11" t="s">
        <v>691</v>
      </c>
      <c r="E125" s="11" t="s">
        <v>766</v>
      </c>
      <c r="F125" s="9" t="s">
        <v>843</v>
      </c>
      <c r="G125" s="12" t="s">
        <v>860</v>
      </c>
      <c r="H125" s="14" t="s">
        <v>887</v>
      </c>
    </row>
    <row r="126" spans="1:8" ht="15.75" x14ac:dyDescent="0.25">
      <c r="A126" s="8" t="s">
        <v>1378</v>
      </c>
      <c r="B126" s="9" t="s">
        <v>155</v>
      </c>
      <c r="C126" s="10" t="s">
        <v>864</v>
      </c>
      <c r="D126" s="8"/>
      <c r="E126" s="11" t="s">
        <v>696</v>
      </c>
      <c r="F126" s="9" t="s">
        <v>843</v>
      </c>
      <c r="G126" s="12" t="s">
        <v>863</v>
      </c>
      <c r="H126" s="14" t="s">
        <v>887</v>
      </c>
    </row>
    <row r="127" spans="1:8" ht="31.5" x14ac:dyDescent="0.25">
      <c r="A127" s="8" t="s">
        <v>1379</v>
      </c>
      <c r="B127" s="9" t="s">
        <v>156</v>
      </c>
      <c r="C127" s="10" t="s">
        <v>876</v>
      </c>
      <c r="D127" s="8"/>
      <c r="E127" s="11" t="s">
        <v>807</v>
      </c>
      <c r="F127" s="9" t="s">
        <v>844</v>
      </c>
      <c r="G127" s="12" t="s">
        <v>863</v>
      </c>
      <c r="H127" s="14" t="s">
        <v>887</v>
      </c>
    </row>
    <row r="128" spans="1:8" ht="31.5" x14ac:dyDescent="0.25">
      <c r="A128" s="8" t="s">
        <v>1380</v>
      </c>
      <c r="B128" s="9" t="s">
        <v>157</v>
      </c>
      <c r="C128" s="10" t="s">
        <v>864</v>
      </c>
      <c r="D128" s="8"/>
      <c r="E128" s="11" t="s">
        <v>784</v>
      </c>
      <c r="F128" s="9" t="s">
        <v>843</v>
      </c>
      <c r="G128" s="12" t="s">
        <v>863</v>
      </c>
      <c r="H128" s="14" t="s">
        <v>886</v>
      </c>
    </row>
    <row r="129" spans="1:8" ht="15.75" x14ac:dyDescent="0.25">
      <c r="A129" s="14" t="s">
        <v>450</v>
      </c>
      <c r="B129" s="9" t="s">
        <v>158</v>
      </c>
      <c r="C129" s="10" t="s">
        <v>877</v>
      </c>
      <c r="D129" s="14" t="s">
        <v>693</v>
      </c>
      <c r="E129" s="11" t="s">
        <v>814</v>
      </c>
      <c r="F129" s="9" t="s">
        <v>844</v>
      </c>
      <c r="G129" s="17" t="s">
        <v>859</v>
      </c>
      <c r="H129" s="14" t="s">
        <v>887</v>
      </c>
    </row>
    <row r="130" spans="1:8" ht="31.5" x14ac:dyDescent="0.25">
      <c r="A130" s="23" t="s">
        <v>1381</v>
      </c>
      <c r="B130" s="9" t="s">
        <v>159</v>
      </c>
      <c r="C130" s="10" t="s">
        <v>864</v>
      </c>
      <c r="D130" s="23"/>
      <c r="E130" s="11" t="s">
        <v>581</v>
      </c>
      <c r="F130" s="9" t="s">
        <v>843</v>
      </c>
      <c r="G130" s="17" t="s">
        <v>856</v>
      </c>
      <c r="H130" s="14" t="s">
        <v>886</v>
      </c>
    </row>
    <row r="131" spans="1:8" ht="15.75" x14ac:dyDescent="0.25">
      <c r="A131" s="8" t="s">
        <v>1382</v>
      </c>
      <c r="B131" s="9" t="s">
        <v>160</v>
      </c>
      <c r="C131" s="10" t="s">
        <v>864</v>
      </c>
      <c r="D131" s="8"/>
      <c r="E131" s="11" t="s">
        <v>696</v>
      </c>
      <c r="F131" s="9" t="s">
        <v>843</v>
      </c>
      <c r="G131" s="12" t="s">
        <v>859</v>
      </c>
      <c r="H131" s="14" t="s">
        <v>887</v>
      </c>
    </row>
    <row r="132" spans="1:8" ht="15.75" x14ac:dyDescent="0.25">
      <c r="A132" s="8" t="s">
        <v>681</v>
      </c>
      <c r="B132" s="9" t="s">
        <v>161</v>
      </c>
      <c r="C132" s="10" t="s">
        <v>864</v>
      </c>
      <c r="D132" s="8" t="s">
        <v>681</v>
      </c>
      <c r="E132" s="11"/>
      <c r="F132" s="9" t="s">
        <v>843</v>
      </c>
      <c r="G132" s="12" t="s">
        <v>855</v>
      </c>
      <c r="H132" s="9" t="s">
        <v>855</v>
      </c>
    </row>
    <row r="133" spans="1:8" ht="15.75" x14ac:dyDescent="0.25">
      <c r="A133" s="8" t="s">
        <v>1383</v>
      </c>
      <c r="B133" s="9" t="s">
        <v>162</v>
      </c>
      <c r="C133" s="10" t="s">
        <v>864</v>
      </c>
      <c r="D133" s="8"/>
      <c r="E133" s="11" t="s">
        <v>810</v>
      </c>
      <c r="F133" s="9" t="s">
        <v>843</v>
      </c>
      <c r="G133" s="12" t="s">
        <v>863</v>
      </c>
      <c r="H133" s="14" t="s">
        <v>888</v>
      </c>
    </row>
    <row r="134" spans="1:8" ht="31.5" x14ac:dyDescent="0.25">
      <c r="A134" s="14" t="s">
        <v>1384</v>
      </c>
      <c r="B134" s="9" t="s">
        <v>163</v>
      </c>
      <c r="C134" s="10" t="s">
        <v>876</v>
      </c>
      <c r="D134" s="14" t="s">
        <v>694</v>
      </c>
      <c r="E134" s="11" t="s">
        <v>815</v>
      </c>
      <c r="F134" s="9" t="s">
        <v>847</v>
      </c>
      <c r="G134" s="17" t="s">
        <v>861</v>
      </c>
      <c r="H134" s="14" t="s">
        <v>887</v>
      </c>
    </row>
    <row r="135" spans="1:8" ht="15.75" x14ac:dyDescent="0.25">
      <c r="A135" s="14" t="s">
        <v>1385</v>
      </c>
      <c r="B135" s="9" t="s">
        <v>164</v>
      </c>
      <c r="C135" s="10" t="s">
        <v>878</v>
      </c>
      <c r="D135" s="14"/>
      <c r="E135" s="11" t="s">
        <v>816</v>
      </c>
      <c r="F135" s="9" t="s">
        <v>844</v>
      </c>
      <c r="G135" s="17" t="s">
        <v>859</v>
      </c>
      <c r="H135" s="14" t="s">
        <v>887</v>
      </c>
    </row>
    <row r="136" spans="1:8" ht="15.75" x14ac:dyDescent="0.25">
      <c r="A136" s="8" t="s">
        <v>457</v>
      </c>
      <c r="B136" s="9" t="s">
        <v>165</v>
      </c>
      <c r="C136" s="10" t="s">
        <v>864</v>
      </c>
      <c r="D136" s="8"/>
      <c r="E136" s="11" t="s">
        <v>696</v>
      </c>
      <c r="F136" s="9" t="s">
        <v>843</v>
      </c>
      <c r="G136" s="12" t="s">
        <v>859</v>
      </c>
      <c r="H136" s="14" t="s">
        <v>887</v>
      </c>
    </row>
    <row r="137" spans="1:8" ht="31.5" x14ac:dyDescent="0.25">
      <c r="A137" s="8" t="s">
        <v>1386</v>
      </c>
      <c r="B137" s="9" t="s">
        <v>166</v>
      </c>
      <c r="C137" s="10" t="s">
        <v>864</v>
      </c>
      <c r="D137" s="8" t="s">
        <v>695</v>
      </c>
      <c r="E137" s="11" t="s">
        <v>817</v>
      </c>
      <c r="F137" s="9" t="s">
        <v>843</v>
      </c>
      <c r="G137" s="12" t="s">
        <v>863</v>
      </c>
      <c r="H137" s="14" t="s">
        <v>888</v>
      </c>
    </row>
    <row r="138" spans="1:8" ht="15.75" x14ac:dyDescent="0.25">
      <c r="A138" s="8" t="s">
        <v>1387</v>
      </c>
      <c r="B138" s="9" t="s">
        <v>167</v>
      </c>
      <c r="C138" s="10" t="s">
        <v>864</v>
      </c>
      <c r="D138" s="8" t="s">
        <v>696</v>
      </c>
      <c r="E138" s="11" t="s">
        <v>696</v>
      </c>
      <c r="F138" s="9" t="s">
        <v>843</v>
      </c>
      <c r="G138" s="12" t="s">
        <v>859</v>
      </c>
      <c r="H138" s="14" t="s">
        <v>887</v>
      </c>
    </row>
    <row r="139" spans="1:8" ht="31.5" x14ac:dyDescent="0.25">
      <c r="A139" s="8" t="s">
        <v>1388</v>
      </c>
      <c r="B139" s="9" t="s">
        <v>168</v>
      </c>
      <c r="C139" s="10" t="s">
        <v>864</v>
      </c>
      <c r="D139" s="8" t="s">
        <v>697</v>
      </c>
      <c r="E139" s="11" t="s">
        <v>697</v>
      </c>
      <c r="F139" s="9" t="s">
        <v>843</v>
      </c>
      <c r="G139" s="12" t="s">
        <v>863</v>
      </c>
      <c r="H139" s="14" t="s">
        <v>886</v>
      </c>
    </row>
    <row r="140" spans="1:8" ht="15.75" x14ac:dyDescent="0.25">
      <c r="A140" s="14" t="s">
        <v>1389</v>
      </c>
      <c r="B140" s="9" t="s">
        <v>169</v>
      </c>
      <c r="C140" s="10" t="s">
        <v>865</v>
      </c>
      <c r="D140" s="14" t="s">
        <v>698</v>
      </c>
      <c r="E140" s="11" t="s">
        <v>767</v>
      </c>
      <c r="F140" s="9" t="s">
        <v>849</v>
      </c>
      <c r="G140" s="17" t="s">
        <v>861</v>
      </c>
      <c r="H140" s="14" t="s">
        <v>887</v>
      </c>
    </row>
    <row r="141" spans="1:8" ht="31.5" x14ac:dyDescent="0.25">
      <c r="A141" s="8" t="s">
        <v>462</v>
      </c>
      <c r="B141" s="9" t="s">
        <v>170</v>
      </c>
      <c r="C141" s="10" t="s">
        <v>864</v>
      </c>
      <c r="D141" s="8" t="s">
        <v>680</v>
      </c>
      <c r="E141" s="11" t="s">
        <v>691</v>
      </c>
      <c r="F141" s="9" t="s">
        <v>843</v>
      </c>
      <c r="G141" s="12" t="s">
        <v>863</v>
      </c>
      <c r="H141" s="14" t="s">
        <v>886</v>
      </c>
    </row>
    <row r="142" spans="1:8" ht="15.75" x14ac:dyDescent="0.25">
      <c r="A142" s="14" t="s">
        <v>1390</v>
      </c>
      <c r="B142" s="9" t="s">
        <v>171</v>
      </c>
      <c r="C142" s="10" t="s">
        <v>879</v>
      </c>
      <c r="D142" s="14" t="s">
        <v>699</v>
      </c>
      <c r="E142" s="11" t="s">
        <v>818</v>
      </c>
      <c r="F142" s="9" t="s">
        <v>851</v>
      </c>
      <c r="G142" s="17" t="s">
        <v>859</v>
      </c>
      <c r="H142" s="14" t="s">
        <v>887</v>
      </c>
    </row>
    <row r="143" spans="1:8" ht="31.5" x14ac:dyDescent="0.25">
      <c r="A143" s="14" t="s">
        <v>1391</v>
      </c>
      <c r="B143" s="9" t="s">
        <v>172</v>
      </c>
      <c r="C143" s="10" t="s">
        <v>879</v>
      </c>
      <c r="D143" s="14" t="s">
        <v>699</v>
      </c>
      <c r="E143" s="11" t="s">
        <v>818</v>
      </c>
      <c r="F143" s="9" t="s">
        <v>851</v>
      </c>
      <c r="G143" s="17" t="s">
        <v>858</v>
      </c>
      <c r="H143" s="14" t="s">
        <v>886</v>
      </c>
    </row>
    <row r="144" spans="1:8" ht="15.75" x14ac:dyDescent="0.25">
      <c r="A144" s="18" t="s">
        <v>1392</v>
      </c>
      <c r="B144" s="9" t="s">
        <v>173</v>
      </c>
      <c r="C144" s="10" t="s">
        <v>864</v>
      </c>
      <c r="D144" s="18"/>
      <c r="E144" s="11" t="s">
        <v>707</v>
      </c>
      <c r="F144" s="9" t="s">
        <v>847</v>
      </c>
      <c r="G144" s="17" t="s">
        <v>860</v>
      </c>
      <c r="H144" s="14" t="s">
        <v>887</v>
      </c>
    </row>
    <row r="145" spans="1:8" ht="31.5" x14ac:dyDescent="0.25">
      <c r="A145" s="8" t="s">
        <v>1393</v>
      </c>
      <c r="B145" s="9" t="s">
        <v>174</v>
      </c>
      <c r="C145" s="10" t="s">
        <v>864</v>
      </c>
      <c r="D145" s="8"/>
      <c r="E145" s="11" t="s">
        <v>697</v>
      </c>
      <c r="F145" s="9" t="s">
        <v>843</v>
      </c>
      <c r="G145" s="12" t="s">
        <v>863</v>
      </c>
      <c r="H145" s="14" t="s">
        <v>886</v>
      </c>
    </row>
    <row r="146" spans="1:8" ht="31.5" x14ac:dyDescent="0.25">
      <c r="A146" s="8" t="s">
        <v>1394</v>
      </c>
      <c r="B146" s="9" t="s">
        <v>175</v>
      </c>
      <c r="C146" s="10" t="s">
        <v>864</v>
      </c>
      <c r="D146" s="8" t="s">
        <v>695</v>
      </c>
      <c r="E146" s="11" t="s">
        <v>817</v>
      </c>
      <c r="F146" s="9" t="s">
        <v>843</v>
      </c>
      <c r="G146" s="12" t="s">
        <v>863</v>
      </c>
      <c r="H146" s="14" t="s">
        <v>887</v>
      </c>
    </row>
    <row r="147" spans="1:8" ht="31.5" x14ac:dyDescent="0.25">
      <c r="A147" s="18" t="s">
        <v>468</v>
      </c>
      <c r="B147" s="9" t="s">
        <v>176</v>
      </c>
      <c r="C147" s="10" t="s">
        <v>864</v>
      </c>
      <c r="D147" s="18"/>
      <c r="E147" s="11" t="s">
        <v>696</v>
      </c>
      <c r="F147" s="9" t="s">
        <v>843</v>
      </c>
      <c r="G147" s="17" t="s">
        <v>863</v>
      </c>
      <c r="H147" s="14" t="s">
        <v>886</v>
      </c>
    </row>
    <row r="148" spans="1:8" ht="15.75" x14ac:dyDescent="0.25">
      <c r="A148" s="14" t="s">
        <v>1395</v>
      </c>
      <c r="B148" s="9" t="s">
        <v>177</v>
      </c>
      <c r="C148" s="10" t="s">
        <v>875</v>
      </c>
      <c r="D148" s="14" t="s">
        <v>700</v>
      </c>
      <c r="E148" s="11" t="s">
        <v>801</v>
      </c>
      <c r="F148" s="9" t="s">
        <v>844</v>
      </c>
      <c r="G148" s="17" t="s">
        <v>859</v>
      </c>
      <c r="H148" s="14" t="s">
        <v>887</v>
      </c>
    </row>
    <row r="149" spans="1:8" ht="31.5" x14ac:dyDescent="0.25">
      <c r="A149" s="14" t="s">
        <v>1396</v>
      </c>
      <c r="B149" s="9" t="s">
        <v>178</v>
      </c>
      <c r="C149" s="10" t="s">
        <v>864</v>
      </c>
      <c r="D149" s="14"/>
      <c r="E149" s="11" t="s">
        <v>765</v>
      </c>
      <c r="F149" s="9" t="s">
        <v>843</v>
      </c>
      <c r="G149" s="17" t="s">
        <v>862</v>
      </c>
      <c r="H149" s="14" t="s">
        <v>886</v>
      </c>
    </row>
    <row r="150" spans="1:8" ht="31.5" x14ac:dyDescent="0.25">
      <c r="A150" s="8" t="s">
        <v>1397</v>
      </c>
      <c r="B150" s="9" t="s">
        <v>179</v>
      </c>
      <c r="C150" s="10" t="s">
        <v>869</v>
      </c>
      <c r="D150" s="8" t="s">
        <v>701</v>
      </c>
      <c r="E150" s="11" t="s">
        <v>776</v>
      </c>
      <c r="F150" s="9" t="s">
        <v>844</v>
      </c>
      <c r="G150" s="12" t="s">
        <v>856</v>
      </c>
      <c r="H150" s="14" t="s">
        <v>886</v>
      </c>
    </row>
    <row r="151" spans="1:8" ht="15.75" x14ac:dyDescent="0.25">
      <c r="A151" s="8" t="s">
        <v>1398</v>
      </c>
      <c r="B151" s="9" t="s">
        <v>180</v>
      </c>
      <c r="C151" s="10" t="s">
        <v>864</v>
      </c>
      <c r="D151" s="11" t="s">
        <v>702</v>
      </c>
      <c r="E151" s="11" t="s">
        <v>796</v>
      </c>
      <c r="F151" s="9" t="s">
        <v>843</v>
      </c>
      <c r="G151" s="12" t="s">
        <v>863</v>
      </c>
      <c r="H151" s="14" t="s">
        <v>888</v>
      </c>
    </row>
    <row r="152" spans="1:8" ht="31.5" x14ac:dyDescent="0.25">
      <c r="A152" s="8" t="s">
        <v>1399</v>
      </c>
      <c r="B152" s="9" t="s">
        <v>181</v>
      </c>
      <c r="C152" s="10" t="s">
        <v>864</v>
      </c>
      <c r="D152" s="8"/>
      <c r="E152" s="11" t="s">
        <v>819</v>
      </c>
      <c r="F152" s="9" t="s">
        <v>843</v>
      </c>
      <c r="G152" s="12" t="s">
        <v>863</v>
      </c>
      <c r="H152" s="14" t="s">
        <v>886</v>
      </c>
    </row>
    <row r="153" spans="1:8" ht="31.5" x14ac:dyDescent="0.25">
      <c r="A153" s="8" t="s">
        <v>1400</v>
      </c>
      <c r="B153" s="9" t="s">
        <v>182</v>
      </c>
      <c r="C153" s="10" t="s">
        <v>864</v>
      </c>
      <c r="D153" s="8"/>
      <c r="E153" s="11" t="s">
        <v>819</v>
      </c>
      <c r="F153" s="9" t="s">
        <v>843</v>
      </c>
      <c r="G153" s="12" t="s">
        <v>856</v>
      </c>
      <c r="H153" s="14" t="s">
        <v>886</v>
      </c>
    </row>
    <row r="154" spans="1:8" ht="31.5" x14ac:dyDescent="0.25">
      <c r="A154" s="8" t="s">
        <v>1401</v>
      </c>
      <c r="B154" s="9" t="s">
        <v>183</v>
      </c>
      <c r="C154" s="10" t="s">
        <v>864</v>
      </c>
      <c r="D154" s="8"/>
      <c r="E154" s="11" t="s">
        <v>819</v>
      </c>
      <c r="F154" s="9" t="s">
        <v>843</v>
      </c>
      <c r="G154" s="12" t="s">
        <v>856</v>
      </c>
      <c r="H154" s="14" t="s">
        <v>886</v>
      </c>
    </row>
    <row r="155" spans="1:8" ht="47.25" x14ac:dyDescent="0.25">
      <c r="A155" s="8" t="s">
        <v>1402</v>
      </c>
      <c r="B155" s="9" t="s">
        <v>184</v>
      </c>
      <c r="C155" s="10" t="s">
        <v>864</v>
      </c>
      <c r="D155" s="8" t="s">
        <v>703</v>
      </c>
      <c r="E155" s="11" t="s">
        <v>817</v>
      </c>
      <c r="F155" s="9" t="s">
        <v>843</v>
      </c>
      <c r="G155" s="12" t="s">
        <v>863</v>
      </c>
      <c r="H155" s="14" t="s">
        <v>886</v>
      </c>
    </row>
    <row r="156" spans="1:8" ht="31.5" x14ac:dyDescent="0.25">
      <c r="A156" s="14" t="s">
        <v>1403</v>
      </c>
      <c r="B156" s="9" t="s">
        <v>185</v>
      </c>
      <c r="C156" s="10" t="s">
        <v>880</v>
      </c>
      <c r="E156" s="14" t="s">
        <v>820</v>
      </c>
      <c r="F156" s="9" t="s">
        <v>847</v>
      </c>
      <c r="G156" s="17" t="s">
        <v>861</v>
      </c>
      <c r="H156" s="14" t="s">
        <v>887</v>
      </c>
    </row>
    <row r="157" spans="1:8" ht="31.5" x14ac:dyDescent="0.25">
      <c r="A157" s="8" t="s">
        <v>478</v>
      </c>
      <c r="B157" s="9" t="s">
        <v>186</v>
      </c>
      <c r="C157" s="10" t="s">
        <v>865</v>
      </c>
      <c r="D157" s="8"/>
      <c r="E157" s="11" t="s">
        <v>767</v>
      </c>
      <c r="F157" s="9" t="s">
        <v>844</v>
      </c>
      <c r="G157" s="12" t="s">
        <v>857</v>
      </c>
      <c r="H157" s="14" t="s">
        <v>887</v>
      </c>
    </row>
    <row r="158" spans="1:8" ht="31.5" x14ac:dyDescent="0.25">
      <c r="A158" s="14" t="s">
        <v>1404</v>
      </c>
      <c r="B158" s="9" t="s">
        <v>187</v>
      </c>
      <c r="C158" s="10" t="s">
        <v>864</v>
      </c>
      <c r="D158" s="14" t="s">
        <v>695</v>
      </c>
      <c r="E158" s="11" t="s">
        <v>817</v>
      </c>
      <c r="F158" s="9" t="s">
        <v>843</v>
      </c>
      <c r="G158" s="17" t="s">
        <v>863</v>
      </c>
      <c r="H158" s="14" t="s">
        <v>888</v>
      </c>
    </row>
    <row r="159" spans="1:8" ht="15.75" x14ac:dyDescent="0.25">
      <c r="A159" s="8" t="s">
        <v>1405</v>
      </c>
      <c r="B159" s="9" t="s">
        <v>188</v>
      </c>
      <c r="C159" s="10" t="s">
        <v>864</v>
      </c>
      <c r="D159" s="8"/>
      <c r="E159" s="11" t="s">
        <v>696</v>
      </c>
      <c r="F159" s="9" t="s">
        <v>843</v>
      </c>
      <c r="G159" s="12" t="s">
        <v>859</v>
      </c>
      <c r="H159" s="14" t="s">
        <v>887</v>
      </c>
    </row>
    <row r="160" spans="1:8" ht="31.5" x14ac:dyDescent="0.25">
      <c r="A160" s="8" t="s">
        <v>481</v>
      </c>
      <c r="B160" s="9" t="s">
        <v>189</v>
      </c>
      <c r="C160" s="10" t="s">
        <v>875</v>
      </c>
      <c r="D160" s="8"/>
      <c r="E160" s="11" t="s">
        <v>696</v>
      </c>
      <c r="F160" s="9" t="s">
        <v>843</v>
      </c>
      <c r="G160" s="12" t="s">
        <v>859</v>
      </c>
      <c r="H160" s="14" t="s">
        <v>886</v>
      </c>
    </row>
    <row r="161" spans="1:8" ht="31.5" x14ac:dyDescent="0.25">
      <c r="A161" s="14" t="s">
        <v>1406</v>
      </c>
      <c r="B161" s="9" t="s">
        <v>190</v>
      </c>
      <c r="C161" s="10" t="s">
        <v>864</v>
      </c>
      <c r="D161" s="14" t="s">
        <v>695</v>
      </c>
      <c r="E161" s="11" t="s">
        <v>817</v>
      </c>
      <c r="F161" s="9" t="s">
        <v>843</v>
      </c>
      <c r="G161" s="17" t="s">
        <v>863</v>
      </c>
      <c r="H161" s="14" t="s">
        <v>888</v>
      </c>
    </row>
    <row r="162" spans="1:8" ht="15.75" x14ac:dyDescent="0.25">
      <c r="A162" s="8" t="s">
        <v>1407</v>
      </c>
      <c r="B162" s="9" t="s">
        <v>191</v>
      </c>
      <c r="C162" s="10" t="s">
        <v>864</v>
      </c>
      <c r="D162" s="8" t="s">
        <v>704</v>
      </c>
      <c r="E162" s="11"/>
      <c r="F162" s="9" t="s">
        <v>849</v>
      </c>
      <c r="G162" s="12" t="s">
        <v>861</v>
      </c>
      <c r="H162" s="14" t="s">
        <v>887</v>
      </c>
    </row>
    <row r="163" spans="1:8" ht="15.75" x14ac:dyDescent="0.25">
      <c r="A163" s="8" t="s">
        <v>681</v>
      </c>
      <c r="B163" s="9" t="s">
        <v>192</v>
      </c>
      <c r="C163" s="10" t="s">
        <v>864</v>
      </c>
      <c r="D163" s="8" t="s">
        <v>681</v>
      </c>
      <c r="E163" s="11"/>
      <c r="F163" s="9" t="s">
        <v>843</v>
      </c>
      <c r="G163" s="12" t="s">
        <v>855</v>
      </c>
      <c r="H163" s="9" t="s">
        <v>855</v>
      </c>
    </row>
    <row r="164" spans="1:8" ht="31.5" x14ac:dyDescent="0.25">
      <c r="A164" s="14" t="s">
        <v>1408</v>
      </c>
      <c r="B164" s="9" t="s">
        <v>193</v>
      </c>
      <c r="C164" s="10" t="s">
        <v>864</v>
      </c>
      <c r="D164" s="14"/>
      <c r="E164" s="11" t="s">
        <v>784</v>
      </c>
      <c r="F164" s="9" t="s">
        <v>843</v>
      </c>
      <c r="G164" s="17" t="s">
        <v>863</v>
      </c>
      <c r="H164" s="14" t="s">
        <v>886</v>
      </c>
    </row>
    <row r="165" spans="1:8" ht="15.75" x14ac:dyDescent="0.25">
      <c r="A165" s="8" t="s">
        <v>486</v>
      </c>
      <c r="B165" s="9" t="s">
        <v>194</v>
      </c>
      <c r="C165" s="10" t="s">
        <v>864</v>
      </c>
      <c r="D165" s="8"/>
      <c r="E165" s="11" t="s">
        <v>682</v>
      </c>
      <c r="F165" s="9" t="s">
        <v>843</v>
      </c>
      <c r="G165" s="12" t="s">
        <v>863</v>
      </c>
      <c r="H165" s="9" t="s">
        <v>855</v>
      </c>
    </row>
    <row r="166" spans="1:8" ht="15.75" x14ac:dyDescent="0.25">
      <c r="A166" s="14" t="s">
        <v>1409</v>
      </c>
      <c r="B166" s="9" t="s">
        <v>195</v>
      </c>
      <c r="C166" s="10" t="s">
        <v>864</v>
      </c>
      <c r="D166" s="14" t="s">
        <v>705</v>
      </c>
      <c r="E166" s="11"/>
      <c r="F166" s="9" t="s">
        <v>849</v>
      </c>
      <c r="G166" s="17" t="s">
        <v>861</v>
      </c>
      <c r="H166" s="14" t="s">
        <v>887</v>
      </c>
    </row>
    <row r="167" spans="1:8" ht="31.5" x14ac:dyDescent="0.25">
      <c r="A167" s="8" t="s">
        <v>488</v>
      </c>
      <c r="B167" s="9" t="s">
        <v>196</v>
      </c>
      <c r="C167" s="10" t="s">
        <v>870</v>
      </c>
      <c r="D167" s="8"/>
      <c r="E167" s="11" t="s">
        <v>810</v>
      </c>
      <c r="F167" s="9" t="s">
        <v>843</v>
      </c>
      <c r="G167" s="12" t="s">
        <v>863</v>
      </c>
      <c r="H167" s="14" t="s">
        <v>886</v>
      </c>
    </row>
    <row r="168" spans="1:8" ht="31.5" x14ac:dyDescent="0.25">
      <c r="A168" s="14" t="s">
        <v>1410</v>
      </c>
      <c r="B168" s="9" t="s">
        <v>197</v>
      </c>
      <c r="C168" s="10" t="s">
        <v>865</v>
      </c>
      <c r="D168" s="11" t="s">
        <v>691</v>
      </c>
      <c r="E168" s="11" t="s">
        <v>766</v>
      </c>
      <c r="F168" s="9" t="s">
        <v>843</v>
      </c>
      <c r="G168" s="17" t="s">
        <v>858</v>
      </c>
      <c r="H168" s="14" t="s">
        <v>887</v>
      </c>
    </row>
    <row r="169" spans="1:8" ht="31.5" x14ac:dyDescent="0.25">
      <c r="A169" s="8" t="s">
        <v>490</v>
      </c>
      <c r="B169" s="9" t="s">
        <v>198</v>
      </c>
      <c r="C169" s="10" t="s">
        <v>864</v>
      </c>
      <c r="D169" s="8"/>
      <c r="E169" s="11" t="s">
        <v>821</v>
      </c>
      <c r="F169" s="9" t="s">
        <v>843</v>
      </c>
      <c r="G169" s="12" t="s">
        <v>863</v>
      </c>
      <c r="H169" s="14" t="s">
        <v>886</v>
      </c>
    </row>
    <row r="170" spans="1:8" ht="31.5" x14ac:dyDescent="0.25">
      <c r="A170" s="14" t="s">
        <v>1411</v>
      </c>
      <c r="B170" s="9" t="s">
        <v>199</v>
      </c>
      <c r="C170" s="10" t="s">
        <v>869</v>
      </c>
      <c r="E170" s="14" t="s">
        <v>728</v>
      </c>
      <c r="F170" s="9" t="s">
        <v>849</v>
      </c>
      <c r="G170" s="17" t="s">
        <v>861</v>
      </c>
      <c r="H170" s="14" t="s">
        <v>887</v>
      </c>
    </row>
    <row r="171" spans="1:8" ht="31.5" x14ac:dyDescent="0.25">
      <c r="A171" s="14" t="s">
        <v>492</v>
      </c>
      <c r="B171" s="9" t="s">
        <v>200</v>
      </c>
      <c r="C171" s="10" t="s">
        <v>870</v>
      </c>
      <c r="D171" s="11" t="s">
        <v>691</v>
      </c>
      <c r="E171" s="11" t="s">
        <v>766</v>
      </c>
      <c r="F171" s="9" t="s">
        <v>843</v>
      </c>
      <c r="G171" s="17" t="s">
        <v>863</v>
      </c>
      <c r="H171" s="14" t="s">
        <v>887</v>
      </c>
    </row>
    <row r="172" spans="1:8" ht="15.75" x14ac:dyDescent="0.25">
      <c r="A172" s="14" t="s">
        <v>493</v>
      </c>
      <c r="B172" s="9" t="s">
        <v>201</v>
      </c>
      <c r="C172" s="10" t="s">
        <v>877</v>
      </c>
      <c r="D172" s="14"/>
      <c r="E172" s="11" t="s">
        <v>814</v>
      </c>
      <c r="F172" s="9" t="s">
        <v>844</v>
      </c>
      <c r="G172" s="17" t="s">
        <v>858</v>
      </c>
      <c r="H172" s="14" t="s">
        <v>887</v>
      </c>
    </row>
    <row r="173" spans="1:8" ht="31.5" x14ac:dyDescent="0.25">
      <c r="A173" s="14" t="s">
        <v>1412</v>
      </c>
      <c r="B173" s="9" t="s">
        <v>202</v>
      </c>
      <c r="C173" s="10" t="s">
        <v>864</v>
      </c>
      <c r="D173" s="14" t="s">
        <v>706</v>
      </c>
      <c r="E173" s="11"/>
      <c r="F173" s="9" t="s">
        <v>847</v>
      </c>
      <c r="G173" s="17" t="s">
        <v>861</v>
      </c>
      <c r="H173" s="14" t="s">
        <v>887</v>
      </c>
    </row>
    <row r="174" spans="1:8" ht="31.5" x14ac:dyDescent="0.25">
      <c r="A174" s="8" t="s">
        <v>1413</v>
      </c>
      <c r="B174" s="9" t="s">
        <v>203</v>
      </c>
      <c r="C174" s="10" t="s">
        <v>880</v>
      </c>
      <c r="D174" s="11" t="s">
        <v>691</v>
      </c>
      <c r="E174" s="11" t="s">
        <v>766</v>
      </c>
      <c r="F174" s="9" t="s">
        <v>843</v>
      </c>
      <c r="G174" s="12" t="s">
        <v>858</v>
      </c>
      <c r="H174" s="14" t="s">
        <v>887</v>
      </c>
    </row>
    <row r="175" spans="1:8" ht="15.75" x14ac:dyDescent="0.25">
      <c r="A175" s="18" t="s">
        <v>1414</v>
      </c>
      <c r="B175" s="9" t="s">
        <v>204</v>
      </c>
      <c r="C175" s="10" t="s">
        <v>864</v>
      </c>
      <c r="D175" s="10" t="s">
        <v>707</v>
      </c>
      <c r="F175" s="9" t="s">
        <v>847</v>
      </c>
      <c r="G175" s="17" t="s">
        <v>860</v>
      </c>
      <c r="H175" s="14" t="s">
        <v>887</v>
      </c>
    </row>
    <row r="176" spans="1:8" ht="15.75" x14ac:dyDescent="0.25">
      <c r="A176" s="18" t="s">
        <v>1415</v>
      </c>
      <c r="B176" s="9" t="s">
        <v>205</v>
      </c>
      <c r="C176" s="10" t="s">
        <v>864</v>
      </c>
      <c r="D176" s="18" t="s">
        <v>708</v>
      </c>
      <c r="E176" s="11" t="s">
        <v>804</v>
      </c>
      <c r="F176" s="9" t="s">
        <v>843</v>
      </c>
      <c r="G176" s="17" t="s">
        <v>859</v>
      </c>
      <c r="H176" s="14" t="s">
        <v>887</v>
      </c>
    </row>
    <row r="177" spans="1:8" ht="31.5" x14ac:dyDescent="0.25">
      <c r="A177" s="14" t="s">
        <v>1416</v>
      </c>
      <c r="B177" s="9" t="s">
        <v>206</v>
      </c>
      <c r="C177" s="10" t="s">
        <v>865</v>
      </c>
      <c r="D177" s="14" t="s">
        <v>709</v>
      </c>
      <c r="E177" s="11" t="s">
        <v>767</v>
      </c>
      <c r="F177" s="9" t="s">
        <v>844</v>
      </c>
      <c r="G177" s="17" t="s">
        <v>857</v>
      </c>
      <c r="H177" s="14" t="s">
        <v>887</v>
      </c>
    </row>
    <row r="178" spans="1:8" ht="31.5" x14ac:dyDescent="0.25">
      <c r="A178" s="14" t="s">
        <v>1417</v>
      </c>
      <c r="B178" s="9" t="s">
        <v>207</v>
      </c>
      <c r="C178" s="10" t="s">
        <v>864</v>
      </c>
      <c r="D178" s="14"/>
      <c r="E178" s="11" t="s">
        <v>696</v>
      </c>
      <c r="F178" s="9" t="s">
        <v>843</v>
      </c>
      <c r="G178" s="17" t="s">
        <v>863</v>
      </c>
      <c r="H178" s="14" t="s">
        <v>886</v>
      </c>
    </row>
    <row r="179" spans="1:8" ht="15.75" x14ac:dyDescent="0.25">
      <c r="A179" s="14" t="s">
        <v>1418</v>
      </c>
      <c r="B179" s="9" t="s">
        <v>208</v>
      </c>
      <c r="C179" s="10" t="s">
        <v>864</v>
      </c>
      <c r="D179" s="24" t="s">
        <v>710</v>
      </c>
      <c r="E179" s="11" t="s">
        <v>696</v>
      </c>
      <c r="F179" s="9" t="s">
        <v>843</v>
      </c>
      <c r="G179" s="17" t="s">
        <v>859</v>
      </c>
      <c r="H179" s="14" t="s">
        <v>887</v>
      </c>
    </row>
    <row r="180" spans="1:8" ht="31.5" x14ac:dyDescent="0.25">
      <c r="A180" s="8" t="s">
        <v>501</v>
      </c>
      <c r="B180" s="9" t="s">
        <v>209</v>
      </c>
      <c r="C180" s="10" t="s">
        <v>865</v>
      </c>
      <c r="D180" s="8"/>
      <c r="E180" s="11" t="s">
        <v>767</v>
      </c>
      <c r="F180" s="9" t="s">
        <v>844</v>
      </c>
      <c r="G180" s="12" t="s">
        <v>857</v>
      </c>
      <c r="H180" s="14" t="s">
        <v>887</v>
      </c>
    </row>
    <row r="181" spans="1:8" ht="15.75" x14ac:dyDescent="0.25">
      <c r="A181" s="19" t="s">
        <v>502</v>
      </c>
      <c r="B181" s="9" t="s">
        <v>210</v>
      </c>
      <c r="C181" s="25" t="s">
        <v>865</v>
      </c>
      <c r="D181" s="26" t="s">
        <v>711</v>
      </c>
      <c r="E181" s="27" t="s">
        <v>767</v>
      </c>
      <c r="F181" s="9" t="s">
        <v>852</v>
      </c>
      <c r="G181" s="16" t="s">
        <v>857</v>
      </c>
      <c r="H181" s="14" t="s">
        <v>887</v>
      </c>
    </row>
    <row r="182" spans="1:8" ht="31.5" x14ac:dyDescent="0.25">
      <c r="A182" s="14" t="s">
        <v>1419</v>
      </c>
      <c r="B182" s="9" t="s">
        <v>211</v>
      </c>
      <c r="C182" s="10" t="s">
        <v>870</v>
      </c>
      <c r="D182" s="14" t="s">
        <v>712</v>
      </c>
      <c r="E182" s="11" t="s">
        <v>766</v>
      </c>
      <c r="F182" s="9" t="s">
        <v>843</v>
      </c>
      <c r="G182" s="17" t="s">
        <v>857</v>
      </c>
      <c r="H182" s="14" t="s">
        <v>887</v>
      </c>
    </row>
    <row r="183" spans="1:8" ht="31.5" x14ac:dyDescent="0.25">
      <c r="A183" s="14" t="s">
        <v>1420</v>
      </c>
      <c r="B183" s="9" t="s">
        <v>212</v>
      </c>
      <c r="C183" s="10" t="s">
        <v>864</v>
      </c>
      <c r="D183" s="14" t="s">
        <v>695</v>
      </c>
      <c r="E183" s="11" t="s">
        <v>817</v>
      </c>
      <c r="F183" s="9" t="s">
        <v>843</v>
      </c>
      <c r="G183" s="17" t="s">
        <v>863</v>
      </c>
      <c r="H183" s="14" t="s">
        <v>888</v>
      </c>
    </row>
    <row r="184" spans="1:8" ht="31.5" x14ac:dyDescent="0.25">
      <c r="A184" s="15" t="s">
        <v>505</v>
      </c>
      <c r="B184" s="9" t="s">
        <v>213</v>
      </c>
      <c r="C184" s="16" t="s">
        <v>870</v>
      </c>
      <c r="D184" s="16" t="s">
        <v>713</v>
      </c>
      <c r="E184" s="16"/>
      <c r="F184" s="9" t="s">
        <v>853</v>
      </c>
      <c r="G184" s="16" t="s">
        <v>860</v>
      </c>
      <c r="H184" s="14" t="s">
        <v>886</v>
      </c>
    </row>
    <row r="185" spans="1:8" ht="15.75" x14ac:dyDescent="0.25">
      <c r="A185" s="14" t="s">
        <v>1421</v>
      </c>
      <c r="B185" s="9" t="s">
        <v>214</v>
      </c>
      <c r="C185" s="10" t="s">
        <v>870</v>
      </c>
      <c r="D185" s="14" t="s">
        <v>714</v>
      </c>
      <c r="E185" s="11" t="s">
        <v>696</v>
      </c>
      <c r="F185" s="9" t="s">
        <v>847</v>
      </c>
      <c r="G185" s="17" t="s">
        <v>857</v>
      </c>
      <c r="H185" s="14" t="s">
        <v>887</v>
      </c>
    </row>
    <row r="186" spans="1:8" ht="31.5" x14ac:dyDescent="0.25">
      <c r="A186" s="15" t="s">
        <v>1422</v>
      </c>
      <c r="B186" s="9" t="s">
        <v>215</v>
      </c>
      <c r="C186" s="16" t="s">
        <v>864</v>
      </c>
      <c r="D186" s="14" t="s">
        <v>695</v>
      </c>
      <c r="E186" s="11" t="s">
        <v>817</v>
      </c>
      <c r="F186" s="9"/>
      <c r="G186" s="16" t="s">
        <v>863</v>
      </c>
      <c r="H186" s="14" t="s">
        <v>886</v>
      </c>
    </row>
    <row r="187" spans="1:8" ht="31.5" x14ac:dyDescent="0.25">
      <c r="A187" s="19" t="s">
        <v>508</v>
      </c>
      <c r="B187" s="9" t="s">
        <v>216</v>
      </c>
      <c r="C187" s="16" t="s">
        <v>870</v>
      </c>
      <c r="D187" s="16" t="s">
        <v>677</v>
      </c>
      <c r="E187" s="16"/>
      <c r="F187" s="9"/>
      <c r="G187" s="16" t="s">
        <v>857</v>
      </c>
      <c r="H187" s="9" t="s">
        <v>887</v>
      </c>
    </row>
    <row r="188" spans="1:8" ht="47.25" x14ac:dyDescent="0.25">
      <c r="A188" s="14" t="s">
        <v>1423</v>
      </c>
      <c r="B188" s="9" t="s">
        <v>217</v>
      </c>
      <c r="C188" s="10" t="s">
        <v>869</v>
      </c>
      <c r="D188" s="14" t="s">
        <v>715</v>
      </c>
      <c r="E188" s="11" t="s">
        <v>776</v>
      </c>
      <c r="F188" s="9" t="s">
        <v>844</v>
      </c>
      <c r="G188" s="17" t="s">
        <v>859</v>
      </c>
      <c r="H188" s="14" t="s">
        <v>887</v>
      </c>
    </row>
    <row r="189" spans="1:8" ht="63" x14ac:dyDescent="0.25">
      <c r="A189" s="15" t="s">
        <v>510</v>
      </c>
      <c r="B189" s="9" t="s">
        <v>218</v>
      </c>
      <c r="C189" s="16" t="s">
        <v>881</v>
      </c>
      <c r="D189" s="16"/>
      <c r="E189" s="16"/>
      <c r="F189" s="9"/>
      <c r="G189" s="16" t="s">
        <v>863</v>
      </c>
      <c r="H189" s="14" t="s">
        <v>886</v>
      </c>
    </row>
    <row r="190" spans="1:8" ht="31.5" x14ac:dyDescent="0.25">
      <c r="A190" s="14" t="s">
        <v>1424</v>
      </c>
      <c r="B190" s="9" t="s">
        <v>219</v>
      </c>
      <c r="C190" s="10" t="s">
        <v>864</v>
      </c>
      <c r="D190" s="24"/>
      <c r="E190" s="11" t="s">
        <v>696</v>
      </c>
      <c r="F190" s="9" t="s">
        <v>843</v>
      </c>
      <c r="G190" s="17" t="s">
        <v>856</v>
      </c>
      <c r="H190" s="14" t="s">
        <v>886</v>
      </c>
    </row>
    <row r="191" spans="1:8" ht="15.75" x14ac:dyDescent="0.25">
      <c r="A191" s="14" t="s">
        <v>1425</v>
      </c>
      <c r="B191" s="9" t="s">
        <v>220</v>
      </c>
      <c r="C191" s="10" t="s">
        <v>865</v>
      </c>
      <c r="D191" s="14" t="s">
        <v>716</v>
      </c>
      <c r="E191" s="11" t="s">
        <v>767</v>
      </c>
      <c r="F191" s="9" t="s">
        <v>844</v>
      </c>
      <c r="G191" s="17" t="s">
        <v>857</v>
      </c>
      <c r="H191" s="14" t="s">
        <v>887</v>
      </c>
    </row>
    <row r="192" spans="1:8" ht="31.5" x14ac:dyDescent="0.25">
      <c r="A192" s="14" t="s">
        <v>513</v>
      </c>
      <c r="B192" s="9" t="s">
        <v>221</v>
      </c>
      <c r="C192" s="10" t="s">
        <v>865</v>
      </c>
      <c r="D192" s="14" t="s">
        <v>717</v>
      </c>
      <c r="E192" s="11" t="s">
        <v>767</v>
      </c>
      <c r="F192" s="9" t="s">
        <v>844</v>
      </c>
      <c r="G192" s="17" t="s">
        <v>857</v>
      </c>
      <c r="H192" s="14" t="s">
        <v>887</v>
      </c>
    </row>
    <row r="193" spans="1:8" ht="15.75" x14ac:dyDescent="0.25">
      <c r="A193" s="14" t="s">
        <v>514</v>
      </c>
      <c r="B193" s="9" t="s">
        <v>222</v>
      </c>
      <c r="C193" s="14" t="s">
        <v>879</v>
      </c>
      <c r="D193" s="14" t="s">
        <v>581</v>
      </c>
      <c r="E193" s="14" t="s">
        <v>581</v>
      </c>
      <c r="F193" s="9" t="s">
        <v>843</v>
      </c>
      <c r="G193" s="17" t="s">
        <v>858</v>
      </c>
      <c r="H193" s="14" t="s">
        <v>887</v>
      </c>
    </row>
    <row r="194" spans="1:8" ht="31.5" x14ac:dyDescent="0.25">
      <c r="A194" s="14" t="s">
        <v>515</v>
      </c>
      <c r="B194" s="9" t="s">
        <v>223</v>
      </c>
      <c r="C194" s="10" t="s">
        <v>864</v>
      </c>
      <c r="D194" s="14" t="s">
        <v>718</v>
      </c>
      <c r="E194" s="11"/>
      <c r="F194" s="9" t="s">
        <v>849</v>
      </c>
      <c r="G194" s="17" t="s">
        <v>863</v>
      </c>
      <c r="H194" s="14" t="s">
        <v>886</v>
      </c>
    </row>
    <row r="195" spans="1:8" ht="31.5" x14ac:dyDescent="0.25">
      <c r="A195" s="19" t="s">
        <v>516</v>
      </c>
      <c r="B195" s="9" t="s">
        <v>224</v>
      </c>
      <c r="C195" s="16" t="s">
        <v>864</v>
      </c>
      <c r="D195" s="28" t="s">
        <v>719</v>
      </c>
      <c r="E195" s="16" t="s">
        <v>696</v>
      </c>
      <c r="F195" s="9" t="s">
        <v>843</v>
      </c>
      <c r="G195" s="16" t="s">
        <v>862</v>
      </c>
      <c r="H195" s="14" t="s">
        <v>886</v>
      </c>
    </row>
    <row r="196" spans="1:8" ht="31.5" x14ac:dyDescent="0.25">
      <c r="A196" s="14" t="s">
        <v>1426</v>
      </c>
      <c r="B196" s="9" t="s">
        <v>225</v>
      </c>
      <c r="C196" s="10" t="s">
        <v>864</v>
      </c>
      <c r="D196" s="14"/>
      <c r="E196" s="11" t="s">
        <v>789</v>
      </c>
      <c r="F196" s="9" t="s">
        <v>843</v>
      </c>
      <c r="G196" s="17" t="s">
        <v>863</v>
      </c>
      <c r="H196" s="14" t="s">
        <v>886</v>
      </c>
    </row>
    <row r="197" spans="1:8" ht="15.75" x14ac:dyDescent="0.25">
      <c r="A197" s="29" t="s">
        <v>518</v>
      </c>
      <c r="B197" s="9" t="s">
        <v>226</v>
      </c>
      <c r="C197" s="16" t="s">
        <v>864</v>
      </c>
      <c r="D197" s="18" t="s">
        <v>720</v>
      </c>
      <c r="E197" s="16"/>
      <c r="F197" s="9"/>
      <c r="G197" s="16" t="s">
        <v>860</v>
      </c>
      <c r="H197" s="9" t="s">
        <v>887</v>
      </c>
    </row>
    <row r="198" spans="1:8" ht="47.25" x14ac:dyDescent="0.25">
      <c r="A198" s="14" t="s">
        <v>519</v>
      </c>
      <c r="B198" s="9" t="s">
        <v>227</v>
      </c>
      <c r="C198" s="10" t="s">
        <v>866</v>
      </c>
      <c r="D198" s="14" t="s">
        <v>721</v>
      </c>
      <c r="E198" s="11" t="s">
        <v>768</v>
      </c>
      <c r="F198" s="9" t="s">
        <v>844</v>
      </c>
      <c r="G198" s="17" t="s">
        <v>863</v>
      </c>
      <c r="H198" s="14" t="s">
        <v>887</v>
      </c>
    </row>
    <row r="199" spans="1:8" ht="15.75" x14ac:dyDescent="0.25">
      <c r="A199" s="14" t="s">
        <v>1427</v>
      </c>
      <c r="B199" s="9" t="s">
        <v>228</v>
      </c>
      <c r="C199" s="10" t="s">
        <v>880</v>
      </c>
      <c r="D199" s="14" t="s">
        <v>722</v>
      </c>
      <c r="E199" s="11" t="s">
        <v>822</v>
      </c>
      <c r="F199" s="9" t="s">
        <v>848</v>
      </c>
      <c r="G199" s="17" t="s">
        <v>858</v>
      </c>
      <c r="H199" s="14" t="s">
        <v>887</v>
      </c>
    </row>
    <row r="200" spans="1:8" ht="15.75" x14ac:dyDescent="0.25">
      <c r="A200" s="8" t="s">
        <v>518</v>
      </c>
      <c r="B200" s="9" t="s">
        <v>229</v>
      </c>
      <c r="C200" s="10" t="s">
        <v>864</v>
      </c>
      <c r="D200" s="18" t="s">
        <v>720</v>
      </c>
      <c r="E200" s="11" t="s">
        <v>823</v>
      </c>
      <c r="F200" s="9" t="s">
        <v>847</v>
      </c>
      <c r="G200" s="17" t="s">
        <v>860</v>
      </c>
      <c r="H200" s="14" t="s">
        <v>887</v>
      </c>
    </row>
    <row r="201" spans="1:8" ht="31.5" x14ac:dyDescent="0.25">
      <c r="A201" s="14" t="s">
        <v>522</v>
      </c>
      <c r="B201" s="9" t="s">
        <v>230</v>
      </c>
      <c r="C201" s="10" t="s">
        <v>865</v>
      </c>
      <c r="D201" s="14" t="s">
        <v>723</v>
      </c>
      <c r="E201" s="11" t="s">
        <v>767</v>
      </c>
      <c r="F201" s="9" t="s">
        <v>844</v>
      </c>
      <c r="G201" s="17" t="s">
        <v>857</v>
      </c>
      <c r="H201" s="14" t="s">
        <v>887</v>
      </c>
    </row>
    <row r="202" spans="1:8" ht="31.5" x14ac:dyDescent="0.25">
      <c r="A202" s="14" t="s">
        <v>523</v>
      </c>
      <c r="B202" s="9" t="s">
        <v>231</v>
      </c>
      <c r="C202" s="10" t="s">
        <v>882</v>
      </c>
      <c r="D202" s="14" t="s">
        <v>724</v>
      </c>
      <c r="E202" s="11" t="s">
        <v>824</v>
      </c>
      <c r="F202" s="9" t="s">
        <v>844</v>
      </c>
      <c r="G202" s="17" t="s">
        <v>857</v>
      </c>
      <c r="H202" s="14" t="s">
        <v>887</v>
      </c>
    </row>
    <row r="203" spans="1:8" ht="31.5" x14ac:dyDescent="0.25">
      <c r="A203" s="14" t="s">
        <v>524</v>
      </c>
      <c r="B203" s="9" t="s">
        <v>232</v>
      </c>
      <c r="C203" s="10" t="s">
        <v>877</v>
      </c>
      <c r="D203" s="14"/>
      <c r="E203" s="11" t="s">
        <v>814</v>
      </c>
      <c r="F203" s="9" t="s">
        <v>844</v>
      </c>
      <c r="G203" s="17" t="s">
        <v>858</v>
      </c>
      <c r="H203" s="14" t="s">
        <v>887</v>
      </c>
    </row>
    <row r="204" spans="1:8" ht="15.75" x14ac:dyDescent="0.25">
      <c r="A204" s="8" t="s">
        <v>525</v>
      </c>
      <c r="B204" s="9" t="s">
        <v>233</v>
      </c>
      <c r="C204" s="11" t="s">
        <v>864</v>
      </c>
      <c r="D204" s="14"/>
      <c r="E204" s="11" t="s">
        <v>789</v>
      </c>
      <c r="F204" s="8" t="s">
        <v>843</v>
      </c>
      <c r="G204" s="17" t="s">
        <v>856</v>
      </c>
      <c r="H204" s="9" t="s">
        <v>855</v>
      </c>
    </row>
    <row r="205" spans="1:8" ht="31.5" x14ac:dyDescent="0.25">
      <c r="A205" s="15" t="s">
        <v>526</v>
      </c>
      <c r="B205" s="9" t="s">
        <v>234</v>
      </c>
      <c r="C205" s="16" t="s">
        <v>864</v>
      </c>
      <c r="D205" s="16"/>
      <c r="E205" s="16"/>
      <c r="F205" s="9"/>
      <c r="G205" s="16" t="s">
        <v>863</v>
      </c>
      <c r="H205" s="14" t="s">
        <v>886</v>
      </c>
    </row>
    <row r="206" spans="1:8" ht="31.5" x14ac:dyDescent="0.25">
      <c r="A206" s="14" t="s">
        <v>527</v>
      </c>
      <c r="B206" s="9" t="s">
        <v>235</v>
      </c>
      <c r="C206" s="10" t="s">
        <v>877</v>
      </c>
      <c r="D206" s="14"/>
      <c r="E206" s="11" t="s">
        <v>814</v>
      </c>
      <c r="F206" s="9" t="s">
        <v>844</v>
      </c>
      <c r="G206" s="17" t="s">
        <v>858</v>
      </c>
      <c r="H206" s="14" t="s">
        <v>887</v>
      </c>
    </row>
    <row r="207" spans="1:8" ht="31.5" x14ac:dyDescent="0.25">
      <c r="A207" s="14" t="s">
        <v>1428</v>
      </c>
      <c r="B207" s="9" t="s">
        <v>236</v>
      </c>
      <c r="C207" s="10" t="s">
        <v>864</v>
      </c>
      <c r="D207" s="14" t="s">
        <v>725</v>
      </c>
      <c r="E207" s="11" t="s">
        <v>766</v>
      </c>
      <c r="F207" s="9" t="s">
        <v>843</v>
      </c>
      <c r="G207" s="17" t="s">
        <v>863</v>
      </c>
      <c r="H207" s="14" t="s">
        <v>855</v>
      </c>
    </row>
    <row r="208" spans="1:8" ht="31.5" x14ac:dyDescent="0.25">
      <c r="A208" s="14" t="s">
        <v>1429</v>
      </c>
      <c r="B208" s="9" t="s">
        <v>237</v>
      </c>
      <c r="C208" s="10" t="s">
        <v>870</v>
      </c>
      <c r="D208" s="14" t="s">
        <v>677</v>
      </c>
      <c r="E208" s="11" t="s">
        <v>781</v>
      </c>
      <c r="F208" s="9" t="s">
        <v>844</v>
      </c>
      <c r="G208" s="17" t="s">
        <v>858</v>
      </c>
      <c r="H208" s="14" t="s">
        <v>887</v>
      </c>
    </row>
    <row r="209" spans="1:8" ht="31.5" x14ac:dyDescent="0.25">
      <c r="A209" s="18" t="s">
        <v>530</v>
      </c>
      <c r="B209" s="9" t="s">
        <v>238</v>
      </c>
      <c r="C209" s="10" t="s">
        <v>864</v>
      </c>
      <c r="D209" s="18" t="s">
        <v>726</v>
      </c>
      <c r="E209" s="11" t="s">
        <v>825</v>
      </c>
      <c r="F209" s="9" t="s">
        <v>854</v>
      </c>
      <c r="G209" s="17" t="s">
        <v>860</v>
      </c>
      <c r="H209" s="14" t="s">
        <v>887</v>
      </c>
    </row>
    <row r="210" spans="1:8" ht="31.5" x14ac:dyDescent="0.25">
      <c r="A210" s="14" t="s">
        <v>531</v>
      </c>
      <c r="B210" s="9" t="s">
        <v>239</v>
      </c>
      <c r="C210" s="10" t="s">
        <v>865</v>
      </c>
      <c r="D210" s="14" t="s">
        <v>727</v>
      </c>
      <c r="E210" s="11" t="s">
        <v>767</v>
      </c>
      <c r="F210" s="9" t="s">
        <v>844</v>
      </c>
      <c r="G210" s="17" t="s">
        <v>857</v>
      </c>
      <c r="H210" s="14" t="s">
        <v>887</v>
      </c>
    </row>
    <row r="211" spans="1:8" ht="15.75" x14ac:dyDescent="0.25">
      <c r="A211" s="14" t="s">
        <v>532</v>
      </c>
      <c r="B211" s="9" t="s">
        <v>240</v>
      </c>
      <c r="C211" s="10" t="s">
        <v>865</v>
      </c>
      <c r="D211" s="14" t="s">
        <v>709</v>
      </c>
      <c r="E211" s="11" t="s">
        <v>767</v>
      </c>
      <c r="F211" s="9" t="s">
        <v>844</v>
      </c>
      <c r="G211" s="17" t="s">
        <v>857</v>
      </c>
      <c r="H211" s="14" t="s">
        <v>887</v>
      </c>
    </row>
    <row r="212" spans="1:8" ht="15.75" x14ac:dyDescent="0.25">
      <c r="A212" s="14" t="s">
        <v>1430</v>
      </c>
      <c r="B212" s="9" t="s">
        <v>241</v>
      </c>
      <c r="C212" s="10" t="s">
        <v>869</v>
      </c>
      <c r="D212" s="14" t="s">
        <v>728</v>
      </c>
      <c r="E212" s="11"/>
      <c r="F212" s="9" t="s">
        <v>849</v>
      </c>
      <c r="G212" s="17" t="s">
        <v>861</v>
      </c>
      <c r="H212" s="14" t="s">
        <v>887</v>
      </c>
    </row>
    <row r="213" spans="1:8" ht="15.75" x14ac:dyDescent="0.25">
      <c r="A213" s="14" t="s">
        <v>1431</v>
      </c>
      <c r="B213" s="9" t="s">
        <v>242</v>
      </c>
      <c r="C213" s="14" t="s">
        <v>878</v>
      </c>
      <c r="D213" s="14" t="s">
        <v>729</v>
      </c>
      <c r="E213" s="14" t="s">
        <v>826</v>
      </c>
      <c r="F213" s="9" t="s">
        <v>848</v>
      </c>
      <c r="G213" s="17" t="s">
        <v>857</v>
      </c>
      <c r="H213" s="14" t="s">
        <v>887</v>
      </c>
    </row>
    <row r="214" spans="1:8" ht="31.5" x14ac:dyDescent="0.25">
      <c r="A214" s="14" t="s">
        <v>1432</v>
      </c>
      <c r="B214" s="9" t="s">
        <v>243</v>
      </c>
      <c r="C214" s="10" t="s">
        <v>864</v>
      </c>
      <c r="D214" s="14"/>
      <c r="E214" s="11" t="s">
        <v>811</v>
      </c>
      <c r="F214" s="9" t="s">
        <v>843</v>
      </c>
      <c r="G214" s="17" t="s">
        <v>863</v>
      </c>
      <c r="H214" s="14" t="s">
        <v>887</v>
      </c>
    </row>
    <row r="215" spans="1:8" ht="15.75" x14ac:dyDescent="0.25">
      <c r="A215" s="14" t="s">
        <v>1433</v>
      </c>
      <c r="B215" s="9" t="s">
        <v>244</v>
      </c>
      <c r="C215" s="10" t="s">
        <v>870</v>
      </c>
      <c r="D215" s="14" t="s">
        <v>714</v>
      </c>
      <c r="E215" s="11" t="s">
        <v>696</v>
      </c>
      <c r="F215" s="9" t="s">
        <v>847</v>
      </c>
      <c r="G215" s="17" t="s">
        <v>857</v>
      </c>
      <c r="H215" s="14" t="s">
        <v>887</v>
      </c>
    </row>
    <row r="216" spans="1:8" ht="31.5" x14ac:dyDescent="0.25">
      <c r="A216" s="14" t="s">
        <v>537</v>
      </c>
      <c r="B216" s="9" t="s">
        <v>245</v>
      </c>
      <c r="C216" s="10" t="s">
        <v>865</v>
      </c>
      <c r="D216" s="14" t="s">
        <v>727</v>
      </c>
      <c r="E216" s="11" t="s">
        <v>767</v>
      </c>
      <c r="F216" s="9" t="s">
        <v>844</v>
      </c>
      <c r="G216" s="17" t="s">
        <v>857</v>
      </c>
      <c r="H216" s="14" t="s">
        <v>887</v>
      </c>
    </row>
    <row r="217" spans="1:8" ht="31.5" x14ac:dyDescent="0.25">
      <c r="A217" s="14" t="s">
        <v>538</v>
      </c>
      <c r="B217" s="9" t="s">
        <v>246</v>
      </c>
      <c r="C217" s="10" t="s">
        <v>883</v>
      </c>
      <c r="D217" s="14" t="s">
        <v>730</v>
      </c>
      <c r="E217" s="11" t="s">
        <v>827</v>
      </c>
      <c r="F217" s="9" t="s">
        <v>844</v>
      </c>
      <c r="G217" s="17" t="s">
        <v>857</v>
      </c>
      <c r="H217" s="14" t="s">
        <v>887</v>
      </c>
    </row>
    <row r="218" spans="1:8" ht="15.75" x14ac:dyDescent="0.25">
      <c r="A218" s="14" t="s">
        <v>1434</v>
      </c>
      <c r="B218" s="9" t="s">
        <v>247</v>
      </c>
      <c r="C218" s="10" t="s">
        <v>865</v>
      </c>
      <c r="D218" s="14"/>
      <c r="E218" s="11" t="s">
        <v>767</v>
      </c>
      <c r="F218" s="9" t="s">
        <v>844</v>
      </c>
      <c r="G218" s="17" t="s">
        <v>857</v>
      </c>
      <c r="H218" s="14" t="s">
        <v>887</v>
      </c>
    </row>
    <row r="219" spans="1:8" ht="15.75" x14ac:dyDescent="0.25">
      <c r="A219" s="14" t="s">
        <v>1435</v>
      </c>
      <c r="B219" s="9" t="s">
        <v>248</v>
      </c>
      <c r="C219" s="10" t="s">
        <v>868</v>
      </c>
      <c r="D219" s="14" t="s">
        <v>731</v>
      </c>
      <c r="E219" s="11" t="s">
        <v>828</v>
      </c>
      <c r="F219" s="9" t="s">
        <v>844</v>
      </c>
      <c r="G219" s="17" t="s">
        <v>861</v>
      </c>
      <c r="H219" s="14" t="s">
        <v>887</v>
      </c>
    </row>
    <row r="220" spans="1:8" ht="15.75" x14ac:dyDescent="0.25">
      <c r="A220" s="14" t="s">
        <v>1436</v>
      </c>
      <c r="B220" s="9" t="s">
        <v>249</v>
      </c>
      <c r="C220" s="10" t="s">
        <v>875</v>
      </c>
      <c r="D220" s="14" t="s">
        <v>700</v>
      </c>
      <c r="E220" s="11" t="s">
        <v>801</v>
      </c>
      <c r="F220" s="9" t="s">
        <v>844</v>
      </c>
      <c r="G220" s="17" t="s">
        <v>859</v>
      </c>
      <c r="H220" s="14" t="s">
        <v>888</v>
      </c>
    </row>
    <row r="221" spans="1:8" ht="15.75" x14ac:dyDescent="0.25">
      <c r="A221" s="14" t="s">
        <v>542</v>
      </c>
      <c r="B221" s="9" t="s">
        <v>250</v>
      </c>
      <c r="C221" s="10" t="s">
        <v>864</v>
      </c>
      <c r="D221" s="14" t="s">
        <v>542</v>
      </c>
      <c r="E221" s="11" t="s">
        <v>829</v>
      </c>
      <c r="F221" s="9" t="s">
        <v>843</v>
      </c>
      <c r="G221" s="17" t="s">
        <v>860</v>
      </c>
      <c r="H221" s="14" t="s">
        <v>887</v>
      </c>
    </row>
    <row r="222" spans="1:8" ht="15.75" x14ac:dyDescent="0.25">
      <c r="A222" s="14" t="s">
        <v>1437</v>
      </c>
      <c r="B222" s="9" t="s">
        <v>251</v>
      </c>
      <c r="C222" s="10" t="s">
        <v>881</v>
      </c>
      <c r="D222" s="14" t="s">
        <v>732</v>
      </c>
      <c r="E222" s="11" t="s">
        <v>732</v>
      </c>
      <c r="F222" s="9" t="s">
        <v>851</v>
      </c>
      <c r="G222" s="17" t="s">
        <v>859</v>
      </c>
      <c r="H222" s="14" t="s">
        <v>887</v>
      </c>
    </row>
    <row r="223" spans="1:8" ht="31.5" x14ac:dyDescent="0.25">
      <c r="A223" s="14" t="s">
        <v>544</v>
      </c>
      <c r="B223" s="9" t="s">
        <v>252</v>
      </c>
      <c r="C223" s="10" t="s">
        <v>864</v>
      </c>
      <c r="D223" s="14"/>
      <c r="E223" s="11" t="s">
        <v>784</v>
      </c>
      <c r="F223" s="9" t="s">
        <v>843</v>
      </c>
      <c r="G223" s="17" t="s">
        <v>863</v>
      </c>
      <c r="H223" s="14" t="s">
        <v>886</v>
      </c>
    </row>
    <row r="224" spans="1:8" ht="31.5" x14ac:dyDescent="0.25">
      <c r="A224" s="14" t="s">
        <v>545</v>
      </c>
      <c r="B224" s="9" t="s">
        <v>253</v>
      </c>
      <c r="C224" s="10" t="s">
        <v>865</v>
      </c>
      <c r="D224" s="14" t="s">
        <v>717</v>
      </c>
      <c r="E224" s="11" t="s">
        <v>767</v>
      </c>
      <c r="F224" s="9" t="s">
        <v>844</v>
      </c>
      <c r="G224" s="17" t="s">
        <v>857</v>
      </c>
      <c r="H224" s="14" t="s">
        <v>887</v>
      </c>
    </row>
    <row r="225" spans="1:8" ht="31.5" x14ac:dyDescent="0.25">
      <c r="A225" s="14" t="s">
        <v>546</v>
      </c>
      <c r="B225" s="9" t="s">
        <v>254</v>
      </c>
      <c r="C225" s="10" t="s">
        <v>864</v>
      </c>
      <c r="D225" s="14"/>
      <c r="E225" s="11" t="s">
        <v>696</v>
      </c>
      <c r="F225" s="9" t="s">
        <v>843</v>
      </c>
      <c r="G225" s="17" t="s">
        <v>863</v>
      </c>
      <c r="H225" s="14" t="s">
        <v>886</v>
      </c>
    </row>
    <row r="226" spans="1:8" ht="31.5" x14ac:dyDescent="0.25">
      <c r="A226" s="14" t="s">
        <v>1438</v>
      </c>
      <c r="B226" s="9" t="s">
        <v>255</v>
      </c>
      <c r="C226" s="10" t="s">
        <v>877</v>
      </c>
      <c r="D226" s="14" t="s">
        <v>733</v>
      </c>
      <c r="E226" s="11" t="s">
        <v>814</v>
      </c>
      <c r="F226" s="9" t="s">
        <v>844</v>
      </c>
      <c r="G226" s="17" t="s">
        <v>858</v>
      </c>
      <c r="H226" s="14" t="s">
        <v>887</v>
      </c>
    </row>
    <row r="227" spans="1:8" ht="31.5" x14ac:dyDescent="0.25">
      <c r="A227" s="14" t="s">
        <v>1439</v>
      </c>
      <c r="B227" s="9" t="s">
        <v>256</v>
      </c>
      <c r="C227" s="14" t="s">
        <v>864</v>
      </c>
      <c r="D227" s="14" t="s">
        <v>734</v>
      </c>
      <c r="E227" s="14" t="s">
        <v>811</v>
      </c>
      <c r="F227" s="9" t="s">
        <v>843</v>
      </c>
      <c r="G227" s="17" t="s">
        <v>863</v>
      </c>
      <c r="H227" s="14" t="s">
        <v>887</v>
      </c>
    </row>
    <row r="228" spans="1:8" ht="31.5" x14ac:dyDescent="0.25">
      <c r="A228" s="14" t="s">
        <v>1440</v>
      </c>
      <c r="B228" s="9" t="s">
        <v>257</v>
      </c>
      <c r="C228" s="10" t="s">
        <v>864</v>
      </c>
      <c r="D228" s="14"/>
      <c r="E228" s="11" t="s">
        <v>821</v>
      </c>
      <c r="F228" s="9" t="s">
        <v>843</v>
      </c>
      <c r="G228" s="17" t="s">
        <v>860</v>
      </c>
      <c r="H228" s="14" t="s">
        <v>887</v>
      </c>
    </row>
    <row r="229" spans="1:8" ht="31.5" x14ac:dyDescent="0.25">
      <c r="A229" s="14" t="s">
        <v>1441</v>
      </c>
      <c r="B229" s="9" t="s">
        <v>258</v>
      </c>
      <c r="C229" s="10" t="s">
        <v>864</v>
      </c>
      <c r="D229" s="14" t="s">
        <v>735</v>
      </c>
      <c r="E229" s="11" t="s">
        <v>830</v>
      </c>
      <c r="F229" s="9" t="s">
        <v>843</v>
      </c>
      <c r="G229" s="17" t="s">
        <v>858</v>
      </c>
      <c r="H229" s="14" t="s">
        <v>887</v>
      </c>
    </row>
    <row r="230" spans="1:8" ht="15.75" x14ac:dyDescent="0.25">
      <c r="A230" s="18" t="s">
        <v>1442</v>
      </c>
      <c r="B230" s="9" t="s">
        <v>259</v>
      </c>
      <c r="C230" s="10" t="s">
        <v>864</v>
      </c>
      <c r="D230" s="18"/>
      <c r="E230" s="11" t="s">
        <v>829</v>
      </c>
      <c r="F230" s="9" t="s">
        <v>843</v>
      </c>
      <c r="G230" s="17" t="s">
        <v>858</v>
      </c>
      <c r="H230" s="14" t="s">
        <v>887</v>
      </c>
    </row>
    <row r="231" spans="1:8" ht="31.5" x14ac:dyDescent="0.25">
      <c r="A231" s="14" t="s">
        <v>552</v>
      </c>
      <c r="B231" s="9" t="s">
        <v>260</v>
      </c>
      <c r="C231" s="10" t="s">
        <v>866</v>
      </c>
      <c r="D231" s="14"/>
      <c r="E231" s="11" t="s">
        <v>768</v>
      </c>
      <c r="F231" s="9" t="s">
        <v>844</v>
      </c>
      <c r="G231" s="17" t="s">
        <v>863</v>
      </c>
      <c r="H231" s="14" t="s">
        <v>886</v>
      </c>
    </row>
    <row r="232" spans="1:8" ht="31.5" x14ac:dyDescent="0.25">
      <c r="A232" s="14" t="s">
        <v>1443</v>
      </c>
      <c r="B232" s="9" t="s">
        <v>261</v>
      </c>
      <c r="C232" s="10" t="s">
        <v>864</v>
      </c>
      <c r="D232" s="14"/>
      <c r="E232" s="11" t="s">
        <v>811</v>
      </c>
      <c r="F232" s="9" t="s">
        <v>843</v>
      </c>
      <c r="G232" s="17" t="s">
        <v>860</v>
      </c>
      <c r="H232" s="14" t="s">
        <v>887</v>
      </c>
    </row>
    <row r="233" spans="1:8" ht="15.75" x14ac:dyDescent="0.25">
      <c r="A233" s="14" t="s">
        <v>1444</v>
      </c>
      <c r="B233" s="9" t="s">
        <v>262</v>
      </c>
      <c r="C233" s="10" t="s">
        <v>867</v>
      </c>
      <c r="D233" s="24" t="s">
        <v>736</v>
      </c>
      <c r="E233" s="11" t="s">
        <v>780</v>
      </c>
      <c r="F233" s="9" t="s">
        <v>844</v>
      </c>
      <c r="G233" s="17" t="s">
        <v>859</v>
      </c>
      <c r="H233" s="14" t="s">
        <v>887</v>
      </c>
    </row>
    <row r="234" spans="1:8" ht="31.5" x14ac:dyDescent="0.25">
      <c r="A234" s="14" t="s">
        <v>1445</v>
      </c>
      <c r="B234" s="9" t="s">
        <v>263</v>
      </c>
      <c r="C234" s="10" t="s">
        <v>880</v>
      </c>
      <c r="D234" s="14" t="s">
        <v>737</v>
      </c>
      <c r="E234" s="11" t="s">
        <v>831</v>
      </c>
      <c r="F234" s="9" t="s">
        <v>844</v>
      </c>
      <c r="G234" s="17" t="s">
        <v>861</v>
      </c>
      <c r="H234" s="14" t="s">
        <v>887</v>
      </c>
    </row>
    <row r="235" spans="1:8" ht="15.75" x14ac:dyDescent="0.25">
      <c r="A235" s="14" t="s">
        <v>1446</v>
      </c>
      <c r="B235" s="9" t="s">
        <v>264</v>
      </c>
      <c r="C235" s="10" t="s">
        <v>864</v>
      </c>
      <c r="E235" s="14" t="s">
        <v>832</v>
      </c>
      <c r="F235" s="9" t="s">
        <v>847</v>
      </c>
      <c r="G235" s="17" t="s">
        <v>861</v>
      </c>
      <c r="H235" s="14" t="s">
        <v>887</v>
      </c>
    </row>
    <row r="236" spans="1:8" ht="15.75" x14ac:dyDescent="0.25">
      <c r="A236" s="14" t="s">
        <v>1447</v>
      </c>
      <c r="B236" s="9" t="s">
        <v>265</v>
      </c>
      <c r="C236" s="10" t="s">
        <v>864</v>
      </c>
      <c r="E236" s="14" t="s">
        <v>833</v>
      </c>
      <c r="F236" s="9" t="s">
        <v>847</v>
      </c>
      <c r="G236" s="17" t="s">
        <v>861</v>
      </c>
      <c r="H236" s="14" t="s">
        <v>887</v>
      </c>
    </row>
    <row r="237" spans="1:8" ht="15.75" x14ac:dyDescent="0.25">
      <c r="A237" s="14" t="s">
        <v>1448</v>
      </c>
      <c r="B237" s="9" t="s">
        <v>266</v>
      </c>
      <c r="C237" s="10" t="s">
        <v>877</v>
      </c>
      <c r="D237" s="14" t="s">
        <v>733</v>
      </c>
      <c r="E237" s="11" t="s">
        <v>814</v>
      </c>
      <c r="F237" s="9" t="s">
        <v>844</v>
      </c>
      <c r="G237" s="17" t="s">
        <v>858</v>
      </c>
      <c r="H237" s="14" t="s">
        <v>887</v>
      </c>
    </row>
    <row r="238" spans="1:8" ht="31.5" x14ac:dyDescent="0.25">
      <c r="A238" s="14" t="s">
        <v>559</v>
      </c>
      <c r="B238" s="9" t="s">
        <v>267</v>
      </c>
      <c r="C238" s="10" t="s">
        <v>864</v>
      </c>
      <c r="D238" s="14"/>
      <c r="E238" s="11" t="s">
        <v>696</v>
      </c>
      <c r="F238" s="9" t="s">
        <v>843</v>
      </c>
      <c r="G238" s="17" t="s">
        <v>863</v>
      </c>
      <c r="H238" s="14" t="s">
        <v>886</v>
      </c>
    </row>
    <row r="239" spans="1:8" ht="31.5" x14ac:dyDescent="0.25">
      <c r="A239" s="14" t="s">
        <v>1449</v>
      </c>
      <c r="B239" s="9" t="s">
        <v>268</v>
      </c>
      <c r="C239" s="10" t="s">
        <v>865</v>
      </c>
      <c r="D239" s="14" t="s">
        <v>738</v>
      </c>
      <c r="E239" s="11" t="s">
        <v>767</v>
      </c>
      <c r="F239" s="9" t="s">
        <v>844</v>
      </c>
      <c r="G239" s="17" t="s">
        <v>857</v>
      </c>
      <c r="H239" s="14" t="s">
        <v>887</v>
      </c>
    </row>
    <row r="240" spans="1:8" ht="15.75" x14ac:dyDescent="0.25">
      <c r="A240" s="14" t="s">
        <v>1450</v>
      </c>
      <c r="B240" s="9" t="s">
        <v>269</v>
      </c>
      <c r="C240" s="10" t="s">
        <v>867</v>
      </c>
      <c r="D240" s="14" t="s">
        <v>739</v>
      </c>
      <c r="E240" s="11" t="s">
        <v>780</v>
      </c>
      <c r="F240" s="9" t="s">
        <v>844</v>
      </c>
      <c r="G240" s="17" t="s">
        <v>861</v>
      </c>
      <c r="H240" s="14" t="s">
        <v>887</v>
      </c>
    </row>
    <row r="241" spans="1:8" ht="15.75" x14ac:dyDescent="0.25">
      <c r="A241" s="14" t="s">
        <v>1451</v>
      </c>
      <c r="B241" s="9" t="s">
        <v>270</v>
      </c>
      <c r="C241" s="10" t="s">
        <v>867</v>
      </c>
      <c r="D241" s="24" t="s">
        <v>740</v>
      </c>
      <c r="E241" s="11" t="s">
        <v>780</v>
      </c>
      <c r="F241" s="9" t="s">
        <v>844</v>
      </c>
      <c r="G241" s="17" t="s">
        <v>859</v>
      </c>
      <c r="H241" s="14" t="s">
        <v>887</v>
      </c>
    </row>
    <row r="242" spans="1:8" ht="31.5" x14ac:dyDescent="0.25">
      <c r="A242" s="14" t="s">
        <v>1452</v>
      </c>
      <c r="B242" s="9" t="s">
        <v>271</v>
      </c>
      <c r="C242" s="10" t="s">
        <v>864</v>
      </c>
      <c r="D242" s="14" t="s">
        <v>741</v>
      </c>
      <c r="E242" s="11" t="s">
        <v>823</v>
      </c>
      <c r="F242" s="9" t="s">
        <v>847</v>
      </c>
      <c r="G242" s="17" t="s">
        <v>860</v>
      </c>
      <c r="H242" s="14" t="s">
        <v>887</v>
      </c>
    </row>
    <row r="243" spans="1:8" ht="31.5" x14ac:dyDescent="0.25">
      <c r="A243" s="14" t="s">
        <v>1453</v>
      </c>
      <c r="B243" s="9" t="s">
        <v>272</v>
      </c>
      <c r="C243" s="10" t="s">
        <v>865</v>
      </c>
      <c r="D243" s="14" t="s">
        <v>742</v>
      </c>
      <c r="E243" s="11" t="s">
        <v>767</v>
      </c>
      <c r="F243" s="9" t="s">
        <v>844</v>
      </c>
      <c r="G243" s="17" t="s">
        <v>857</v>
      </c>
      <c r="H243" s="14" t="s">
        <v>887</v>
      </c>
    </row>
    <row r="244" spans="1:8" ht="31.5" x14ac:dyDescent="0.25">
      <c r="A244" s="14" t="s">
        <v>1454</v>
      </c>
      <c r="B244" s="9" t="s">
        <v>273</v>
      </c>
      <c r="C244" s="10" t="s">
        <v>864</v>
      </c>
      <c r="D244" s="14" t="s">
        <v>743</v>
      </c>
      <c r="E244" s="11" t="s">
        <v>823</v>
      </c>
      <c r="F244" s="9" t="s">
        <v>847</v>
      </c>
      <c r="G244" s="17" t="s">
        <v>861</v>
      </c>
      <c r="H244" s="14" t="s">
        <v>887</v>
      </c>
    </row>
    <row r="245" spans="1:8" ht="31.5" x14ac:dyDescent="0.25">
      <c r="A245" s="14" t="s">
        <v>1455</v>
      </c>
      <c r="B245" s="9" t="s">
        <v>274</v>
      </c>
      <c r="C245" s="10" t="s">
        <v>871</v>
      </c>
      <c r="D245" s="14" t="s">
        <v>744</v>
      </c>
      <c r="E245" s="14" t="s">
        <v>744</v>
      </c>
      <c r="F245" s="9" t="s">
        <v>847</v>
      </c>
      <c r="G245" s="17" t="s">
        <v>861</v>
      </c>
      <c r="H245" s="14" t="s">
        <v>887</v>
      </c>
    </row>
    <row r="246" spans="1:8" ht="31.5" x14ac:dyDescent="0.25">
      <c r="A246" s="14" t="s">
        <v>567</v>
      </c>
      <c r="B246" s="9" t="s">
        <v>275</v>
      </c>
      <c r="C246" s="10" t="s">
        <v>864</v>
      </c>
      <c r="D246" s="14"/>
      <c r="E246" s="11" t="s">
        <v>765</v>
      </c>
      <c r="F246" s="9" t="s">
        <v>843</v>
      </c>
      <c r="G246" s="17" t="s">
        <v>862</v>
      </c>
      <c r="H246" s="14" t="s">
        <v>886</v>
      </c>
    </row>
    <row r="247" spans="1:8" ht="31.5" x14ac:dyDescent="0.25">
      <c r="A247" s="14" t="s">
        <v>568</v>
      </c>
      <c r="B247" s="9" t="s">
        <v>276</v>
      </c>
      <c r="C247" s="10" t="s">
        <v>864</v>
      </c>
      <c r="D247" s="14"/>
      <c r="E247" s="11" t="s">
        <v>765</v>
      </c>
      <c r="F247" s="9" t="s">
        <v>843</v>
      </c>
      <c r="G247" s="17" t="s">
        <v>862</v>
      </c>
      <c r="H247" s="14" t="s">
        <v>886</v>
      </c>
    </row>
    <row r="248" spans="1:8" ht="31.5" x14ac:dyDescent="0.25">
      <c r="A248" s="14" t="s">
        <v>569</v>
      </c>
      <c r="B248" s="9" t="s">
        <v>277</v>
      </c>
      <c r="C248" s="10" t="s">
        <v>864</v>
      </c>
      <c r="D248" s="14"/>
      <c r="E248" s="11" t="s">
        <v>765</v>
      </c>
      <c r="F248" s="9" t="s">
        <v>843</v>
      </c>
      <c r="G248" s="17" t="s">
        <v>862</v>
      </c>
      <c r="H248" s="14" t="s">
        <v>886</v>
      </c>
    </row>
    <row r="249" spans="1:8" ht="15.75" x14ac:dyDescent="0.25">
      <c r="A249" s="14" t="s">
        <v>570</v>
      </c>
      <c r="B249" s="9" t="s">
        <v>278</v>
      </c>
      <c r="C249" s="10" t="s">
        <v>875</v>
      </c>
      <c r="D249" s="18"/>
      <c r="E249" s="11" t="s">
        <v>829</v>
      </c>
      <c r="F249" s="9" t="s">
        <v>843</v>
      </c>
      <c r="G249" s="17" t="s">
        <v>860</v>
      </c>
      <c r="H249" s="14" t="s">
        <v>887</v>
      </c>
    </row>
    <row r="250" spans="1:8" ht="15.75" x14ac:dyDescent="0.25">
      <c r="A250" s="14" t="s">
        <v>571</v>
      </c>
      <c r="B250" s="9" t="s">
        <v>279</v>
      </c>
      <c r="C250" s="10" t="s">
        <v>865</v>
      </c>
      <c r="D250" s="14" t="s">
        <v>745</v>
      </c>
      <c r="E250" s="11" t="s">
        <v>767</v>
      </c>
      <c r="F250" s="9" t="s">
        <v>844</v>
      </c>
      <c r="G250" s="17" t="s">
        <v>857</v>
      </c>
      <c r="H250" s="14" t="s">
        <v>887</v>
      </c>
    </row>
    <row r="251" spans="1:8" ht="15.75" x14ac:dyDescent="0.25">
      <c r="A251" s="14" t="s">
        <v>572</v>
      </c>
      <c r="B251" s="9" t="s">
        <v>280</v>
      </c>
      <c r="C251" s="10" t="s">
        <v>864</v>
      </c>
      <c r="D251" s="14" t="s">
        <v>746</v>
      </c>
      <c r="E251" s="11" t="s">
        <v>746</v>
      </c>
      <c r="F251" s="9" t="s">
        <v>843</v>
      </c>
      <c r="G251" s="17" t="s">
        <v>860</v>
      </c>
      <c r="H251" s="14" t="s">
        <v>887</v>
      </c>
    </row>
    <row r="252" spans="1:8" ht="15.75" x14ac:dyDescent="0.25">
      <c r="A252" s="30" t="s">
        <v>573</v>
      </c>
      <c r="B252" s="9" t="s">
        <v>281</v>
      </c>
      <c r="C252" s="10" t="s">
        <v>876</v>
      </c>
      <c r="D252" s="30"/>
      <c r="E252" s="11" t="s">
        <v>815</v>
      </c>
      <c r="F252" s="9" t="s">
        <v>843</v>
      </c>
      <c r="G252" s="17" t="s">
        <v>861</v>
      </c>
      <c r="H252" s="14" t="s">
        <v>887</v>
      </c>
    </row>
    <row r="253" spans="1:8" ht="31.5" x14ac:dyDescent="0.25">
      <c r="A253" s="14" t="s">
        <v>574</v>
      </c>
      <c r="B253" s="9" t="s">
        <v>282</v>
      </c>
      <c r="C253" s="10" t="s">
        <v>871</v>
      </c>
      <c r="D253" s="14" t="s">
        <v>706</v>
      </c>
      <c r="E253" s="11" t="s">
        <v>823</v>
      </c>
      <c r="F253" s="9" t="s">
        <v>847</v>
      </c>
      <c r="G253" s="17" t="s">
        <v>861</v>
      </c>
      <c r="H253" s="14" t="s">
        <v>887</v>
      </c>
    </row>
    <row r="254" spans="1:8" ht="31.5" x14ac:dyDescent="0.25">
      <c r="A254" s="14" t="s">
        <v>575</v>
      </c>
      <c r="B254" s="9" t="s">
        <v>283</v>
      </c>
      <c r="C254" s="10" t="s">
        <v>866</v>
      </c>
      <c r="D254" s="14"/>
      <c r="E254" s="11" t="s">
        <v>768</v>
      </c>
      <c r="F254" s="9" t="s">
        <v>844</v>
      </c>
      <c r="G254" s="17" t="s">
        <v>858</v>
      </c>
      <c r="H254" s="14" t="s">
        <v>886</v>
      </c>
    </row>
    <row r="255" spans="1:8" ht="15.75" x14ac:dyDescent="0.25">
      <c r="A255" s="14" t="s">
        <v>1456</v>
      </c>
      <c r="B255" s="9" t="s">
        <v>284</v>
      </c>
      <c r="C255" s="10" t="s">
        <v>867</v>
      </c>
      <c r="D255" s="14" t="s">
        <v>747</v>
      </c>
      <c r="E255" s="11" t="s">
        <v>780</v>
      </c>
      <c r="F255" s="9" t="s">
        <v>844</v>
      </c>
      <c r="G255" s="17" t="s">
        <v>859</v>
      </c>
      <c r="H255" s="14" t="s">
        <v>887</v>
      </c>
    </row>
    <row r="256" spans="1:8" ht="15.75" x14ac:dyDescent="0.25">
      <c r="A256" s="14" t="s">
        <v>577</v>
      </c>
      <c r="B256" s="9" t="s">
        <v>285</v>
      </c>
      <c r="C256" s="10" t="s">
        <v>864</v>
      </c>
      <c r="D256" s="14" t="s">
        <v>748</v>
      </c>
      <c r="E256" s="11" t="s">
        <v>696</v>
      </c>
      <c r="F256" s="9" t="s">
        <v>843</v>
      </c>
      <c r="G256" s="17" t="s">
        <v>859</v>
      </c>
      <c r="H256" s="14" t="s">
        <v>887</v>
      </c>
    </row>
    <row r="257" spans="1:8" ht="31.5" x14ac:dyDescent="0.25">
      <c r="A257" s="8" t="s">
        <v>578</v>
      </c>
      <c r="B257" s="9" t="s">
        <v>286</v>
      </c>
      <c r="C257" s="11" t="s">
        <v>864</v>
      </c>
      <c r="D257" s="14" t="s">
        <v>749</v>
      </c>
      <c r="E257" s="11" t="s">
        <v>789</v>
      </c>
      <c r="F257" s="8" t="s">
        <v>843</v>
      </c>
      <c r="G257" s="17" t="s">
        <v>863</v>
      </c>
      <c r="H257" s="9" t="s">
        <v>855</v>
      </c>
    </row>
    <row r="258" spans="1:8" ht="31.5" x14ac:dyDescent="0.25">
      <c r="A258" s="14" t="s">
        <v>579</v>
      </c>
      <c r="B258" s="9" t="s">
        <v>287</v>
      </c>
      <c r="C258" s="10" t="s">
        <v>865</v>
      </c>
      <c r="D258" s="14" t="s">
        <v>750</v>
      </c>
      <c r="E258" s="11" t="s">
        <v>767</v>
      </c>
      <c r="F258" s="9" t="s">
        <v>844</v>
      </c>
      <c r="G258" s="17" t="s">
        <v>857</v>
      </c>
      <c r="H258" s="14" t="s">
        <v>887</v>
      </c>
    </row>
    <row r="259" spans="1:8" ht="31.5" x14ac:dyDescent="0.25">
      <c r="A259" s="14" t="s">
        <v>580</v>
      </c>
      <c r="B259" s="9" t="s">
        <v>288</v>
      </c>
      <c r="C259" s="10" t="s">
        <v>864</v>
      </c>
      <c r="D259" s="14" t="s">
        <v>751</v>
      </c>
      <c r="E259" s="11" t="s">
        <v>834</v>
      </c>
      <c r="F259" s="9" t="s">
        <v>843</v>
      </c>
      <c r="G259" s="17" t="s">
        <v>863</v>
      </c>
      <c r="H259" s="14" t="s">
        <v>887</v>
      </c>
    </row>
    <row r="260" spans="1:8" ht="31.5" x14ac:dyDescent="0.25">
      <c r="A260" s="8" t="s">
        <v>581</v>
      </c>
      <c r="B260" s="9" t="s">
        <v>289</v>
      </c>
      <c r="C260" s="11" t="s">
        <v>864</v>
      </c>
      <c r="D260" s="14" t="s">
        <v>752</v>
      </c>
      <c r="E260" s="11" t="s">
        <v>581</v>
      </c>
      <c r="F260" s="8" t="s">
        <v>843</v>
      </c>
      <c r="G260" s="17" t="s">
        <v>863</v>
      </c>
      <c r="H260" s="14" t="s">
        <v>886</v>
      </c>
    </row>
    <row r="261" spans="1:8" ht="31.5" x14ac:dyDescent="0.25">
      <c r="A261" s="14" t="s">
        <v>582</v>
      </c>
      <c r="B261" s="9" t="s">
        <v>290</v>
      </c>
      <c r="C261" s="10" t="s">
        <v>884</v>
      </c>
      <c r="D261" s="18" t="s">
        <v>753</v>
      </c>
      <c r="E261" s="11" t="s">
        <v>835</v>
      </c>
      <c r="F261" s="9" t="s">
        <v>844</v>
      </c>
      <c r="G261" s="17" t="s">
        <v>861</v>
      </c>
      <c r="H261" s="14" t="s">
        <v>887</v>
      </c>
    </row>
    <row r="262" spans="1:8" ht="31.5" x14ac:dyDescent="0.25">
      <c r="A262" s="14" t="s">
        <v>583</v>
      </c>
      <c r="B262" s="9" t="s">
        <v>291</v>
      </c>
      <c r="C262" s="10" t="s">
        <v>867</v>
      </c>
      <c r="D262" s="14" t="s">
        <v>675</v>
      </c>
      <c r="E262" s="11" t="s">
        <v>780</v>
      </c>
      <c r="F262" s="9" t="s">
        <v>844</v>
      </c>
      <c r="G262" s="17" t="s">
        <v>862</v>
      </c>
      <c r="H262" s="14" t="s">
        <v>886</v>
      </c>
    </row>
    <row r="263" spans="1:8" ht="15.75" x14ac:dyDescent="0.25">
      <c r="A263" s="8" t="s">
        <v>584</v>
      </c>
      <c r="B263" s="9" t="s">
        <v>292</v>
      </c>
      <c r="C263" s="10" t="s">
        <v>865</v>
      </c>
      <c r="D263" s="18" t="s">
        <v>745</v>
      </c>
      <c r="E263" s="11" t="s">
        <v>767</v>
      </c>
      <c r="F263" s="8" t="s">
        <v>844</v>
      </c>
      <c r="G263" s="17" t="s">
        <v>859</v>
      </c>
      <c r="H263" s="14" t="s">
        <v>887</v>
      </c>
    </row>
    <row r="264" spans="1:8" ht="31.5" x14ac:dyDescent="0.25">
      <c r="A264" s="8" t="s">
        <v>585</v>
      </c>
      <c r="B264" s="9" t="s">
        <v>293</v>
      </c>
      <c r="C264" s="10" t="s">
        <v>875</v>
      </c>
      <c r="D264" s="8" t="s">
        <v>700</v>
      </c>
      <c r="E264" s="11" t="s">
        <v>801</v>
      </c>
      <c r="F264" s="8" t="s">
        <v>844</v>
      </c>
      <c r="G264" s="17" t="s">
        <v>857</v>
      </c>
      <c r="H264" s="14" t="s">
        <v>887</v>
      </c>
    </row>
    <row r="265" spans="1:8" ht="31.5" x14ac:dyDescent="0.25">
      <c r="A265" s="8" t="s">
        <v>586</v>
      </c>
      <c r="B265" s="9" t="s">
        <v>294</v>
      </c>
      <c r="C265" s="11" t="s">
        <v>864</v>
      </c>
      <c r="D265" s="8" t="s">
        <v>754</v>
      </c>
      <c r="E265" s="11" t="s">
        <v>804</v>
      </c>
      <c r="F265" s="8" t="s">
        <v>843</v>
      </c>
      <c r="G265" s="17" t="s">
        <v>859</v>
      </c>
      <c r="H265" s="14" t="s">
        <v>887</v>
      </c>
    </row>
    <row r="266" spans="1:8" ht="31.5" x14ac:dyDescent="0.25">
      <c r="A266" s="8" t="s">
        <v>587</v>
      </c>
      <c r="B266" s="9" t="s">
        <v>295</v>
      </c>
      <c r="C266" s="11" t="s">
        <v>864</v>
      </c>
      <c r="D266" s="8" t="s">
        <v>754</v>
      </c>
      <c r="E266" s="11" t="s">
        <v>804</v>
      </c>
      <c r="F266" s="8" t="s">
        <v>843</v>
      </c>
      <c r="G266" s="17" t="s">
        <v>859</v>
      </c>
      <c r="H266" s="14" t="s">
        <v>886</v>
      </c>
    </row>
    <row r="267" spans="1:8" ht="15.75" x14ac:dyDescent="0.25">
      <c r="A267" s="8" t="s">
        <v>588</v>
      </c>
      <c r="B267" s="9" t="s">
        <v>296</v>
      </c>
      <c r="C267" s="10" t="s">
        <v>865</v>
      </c>
      <c r="D267" s="14" t="s">
        <v>755</v>
      </c>
      <c r="E267" s="11" t="s">
        <v>767</v>
      </c>
      <c r="F267" s="8" t="s">
        <v>844</v>
      </c>
      <c r="G267" s="17" t="s">
        <v>859</v>
      </c>
      <c r="H267" s="14" t="s">
        <v>887</v>
      </c>
    </row>
    <row r="268" spans="1:8" ht="15.75" x14ac:dyDescent="0.25">
      <c r="A268" s="30" t="s">
        <v>589</v>
      </c>
      <c r="B268" s="9" t="s">
        <v>297</v>
      </c>
      <c r="C268" s="31" t="s">
        <v>865</v>
      </c>
      <c r="D268" s="31" t="s">
        <v>756</v>
      </c>
      <c r="E268" s="31" t="s">
        <v>836</v>
      </c>
      <c r="F268" s="9" t="s">
        <v>849</v>
      </c>
      <c r="G268" s="17" t="s">
        <v>857</v>
      </c>
      <c r="H268" s="14" t="s">
        <v>887</v>
      </c>
    </row>
    <row r="269" spans="1:8" ht="15.75" x14ac:dyDescent="0.25">
      <c r="A269" s="32" t="s">
        <v>590</v>
      </c>
      <c r="B269" s="9" t="s">
        <v>298</v>
      </c>
      <c r="C269" s="10" t="s">
        <v>876</v>
      </c>
      <c r="D269" s="32" t="s">
        <v>757</v>
      </c>
      <c r="E269" s="11" t="s">
        <v>807</v>
      </c>
      <c r="F269" s="9" t="s">
        <v>844</v>
      </c>
      <c r="G269" s="17" t="s">
        <v>860</v>
      </c>
      <c r="H269" s="14" t="s">
        <v>887</v>
      </c>
    </row>
    <row r="270" spans="1:8" ht="94.5" x14ac:dyDescent="0.25">
      <c r="A270" s="8" t="s">
        <v>591</v>
      </c>
      <c r="B270" s="9" t="s">
        <v>299</v>
      </c>
      <c r="C270" s="10" t="s">
        <v>870</v>
      </c>
      <c r="D270" s="8" t="s">
        <v>758</v>
      </c>
      <c r="E270" s="11" t="s">
        <v>696</v>
      </c>
      <c r="F270" s="9" t="s">
        <v>847</v>
      </c>
      <c r="G270" s="17" t="s">
        <v>857</v>
      </c>
      <c r="H270" s="14" t="s">
        <v>887</v>
      </c>
    </row>
    <row r="271" spans="1:8" ht="31.5" x14ac:dyDescent="0.25">
      <c r="A271" s="30" t="s">
        <v>1457</v>
      </c>
      <c r="B271" s="9" t="s">
        <v>300</v>
      </c>
      <c r="C271" s="10" t="s">
        <v>882</v>
      </c>
      <c r="D271" s="8" t="s">
        <v>759</v>
      </c>
      <c r="E271" s="11" t="s">
        <v>837</v>
      </c>
      <c r="F271" s="9" t="s">
        <v>844</v>
      </c>
      <c r="G271" s="17" t="s">
        <v>857</v>
      </c>
      <c r="H271" s="14" t="s">
        <v>888</v>
      </c>
    </row>
    <row r="272" spans="1:8" ht="15.75" x14ac:dyDescent="0.25">
      <c r="A272" s="30" t="s">
        <v>593</v>
      </c>
      <c r="B272" s="9" t="s">
        <v>301</v>
      </c>
      <c r="C272" s="10" t="s">
        <v>877</v>
      </c>
      <c r="D272" s="8" t="s">
        <v>760</v>
      </c>
      <c r="E272" s="11" t="s">
        <v>838</v>
      </c>
      <c r="F272" s="9" t="s">
        <v>843</v>
      </c>
      <c r="G272" s="17" t="s">
        <v>858</v>
      </c>
      <c r="H272" s="14" t="s">
        <v>887</v>
      </c>
    </row>
    <row r="273" spans="1:8" ht="47.25" x14ac:dyDescent="0.25">
      <c r="A273" s="30" t="s">
        <v>594</v>
      </c>
      <c r="B273" s="9" t="s">
        <v>302</v>
      </c>
      <c r="C273" s="10" t="s">
        <v>864</v>
      </c>
      <c r="E273" s="8" t="s">
        <v>839</v>
      </c>
      <c r="F273" s="9" t="s">
        <v>843</v>
      </c>
      <c r="G273" s="17" t="s">
        <v>858</v>
      </c>
      <c r="H273" s="14" t="s">
        <v>887</v>
      </c>
    </row>
    <row r="274" spans="1:8" ht="31.5" x14ac:dyDescent="0.25">
      <c r="A274" s="33" t="s">
        <v>595</v>
      </c>
      <c r="B274" s="9" t="s">
        <v>303</v>
      </c>
      <c r="C274" s="16" t="s">
        <v>864</v>
      </c>
      <c r="D274" s="34" t="s">
        <v>761</v>
      </c>
      <c r="E274" s="16" t="s">
        <v>726</v>
      </c>
      <c r="F274" s="9" t="s">
        <v>854</v>
      </c>
      <c r="G274" s="16" t="s">
        <v>860</v>
      </c>
      <c r="H274" s="9" t="s">
        <v>887</v>
      </c>
    </row>
    <row r="275" spans="1:8" ht="31.5" x14ac:dyDescent="0.25">
      <c r="A275" s="35" t="s">
        <v>596</v>
      </c>
      <c r="B275" s="9" t="s">
        <v>304</v>
      </c>
      <c r="C275" s="10" t="s">
        <v>864</v>
      </c>
      <c r="D275" s="30"/>
      <c r="E275" s="11" t="s">
        <v>765</v>
      </c>
      <c r="F275" s="9" t="s">
        <v>843</v>
      </c>
      <c r="G275" s="36" t="s">
        <v>862</v>
      </c>
      <c r="H275" s="14" t="s">
        <v>886</v>
      </c>
    </row>
    <row r="276" spans="1:8" ht="31.5" x14ac:dyDescent="0.25">
      <c r="A276" s="30" t="s">
        <v>1458</v>
      </c>
      <c r="B276" s="9" t="s">
        <v>305</v>
      </c>
      <c r="C276" s="10" t="s">
        <v>864</v>
      </c>
      <c r="D276" s="8" t="s">
        <v>695</v>
      </c>
      <c r="E276" s="11" t="s">
        <v>817</v>
      </c>
      <c r="F276" s="9" t="s">
        <v>843</v>
      </c>
      <c r="G276" s="17" t="s">
        <v>863</v>
      </c>
      <c r="H276" s="14" t="s">
        <v>888</v>
      </c>
    </row>
    <row r="277" spans="1:8" ht="31.5" x14ac:dyDescent="0.25">
      <c r="A277" s="30" t="s">
        <v>598</v>
      </c>
      <c r="B277" s="9" t="s">
        <v>306</v>
      </c>
      <c r="C277" s="10" t="s">
        <v>870</v>
      </c>
      <c r="D277" s="8" t="s">
        <v>762</v>
      </c>
      <c r="E277" s="11" t="s">
        <v>838</v>
      </c>
      <c r="F277" s="9" t="s">
        <v>843</v>
      </c>
      <c r="G277" s="17" t="s">
        <v>857</v>
      </c>
      <c r="H277" s="14" t="s">
        <v>887</v>
      </c>
    </row>
    <row r="278" spans="1:8" ht="31.5" x14ac:dyDescent="0.25">
      <c r="A278" s="30" t="s">
        <v>1459</v>
      </c>
      <c r="B278" s="9" t="s">
        <v>307</v>
      </c>
      <c r="C278" s="10" t="s">
        <v>864</v>
      </c>
      <c r="D278" s="8" t="s">
        <v>695</v>
      </c>
      <c r="E278" s="11" t="s">
        <v>817</v>
      </c>
      <c r="F278" s="9" t="s">
        <v>843</v>
      </c>
      <c r="G278" s="17" t="s">
        <v>863</v>
      </c>
      <c r="H278" s="14" t="s">
        <v>886</v>
      </c>
    </row>
    <row r="279" spans="1:8" ht="31.5" x14ac:dyDescent="0.25">
      <c r="A279" s="30" t="s">
        <v>1460</v>
      </c>
      <c r="B279" s="9" t="s">
        <v>308</v>
      </c>
      <c r="C279" s="10" t="s">
        <v>885</v>
      </c>
      <c r="D279" s="8" t="s">
        <v>763</v>
      </c>
      <c r="E279" s="11" t="s">
        <v>840</v>
      </c>
      <c r="F279" s="9" t="s">
        <v>847</v>
      </c>
      <c r="G279" s="17" t="s">
        <v>861</v>
      </c>
      <c r="H279" s="14" t="s">
        <v>887</v>
      </c>
    </row>
    <row r="280" spans="1:8" ht="15.75" x14ac:dyDescent="0.25">
      <c r="A280" s="37" t="s">
        <v>601</v>
      </c>
      <c r="B280" s="9" t="s">
        <v>309</v>
      </c>
      <c r="C280" s="10" t="s">
        <v>1461</v>
      </c>
      <c r="D280" s="34" t="s">
        <v>715</v>
      </c>
      <c r="E280" s="16" t="s">
        <v>1462</v>
      </c>
      <c r="F280" s="9" t="s">
        <v>852</v>
      </c>
      <c r="G280" s="16" t="s">
        <v>859</v>
      </c>
      <c r="H280" s="9" t="s">
        <v>887</v>
      </c>
    </row>
    <row r="281" spans="1:8" ht="15.75" x14ac:dyDescent="0.25">
      <c r="A281" s="37" t="s">
        <v>500</v>
      </c>
      <c r="B281" s="9" t="s">
        <v>310</v>
      </c>
      <c r="C281" s="16" t="s">
        <v>864</v>
      </c>
      <c r="D281" s="34"/>
      <c r="E281" s="16" t="s">
        <v>696</v>
      </c>
      <c r="F281" s="9" t="s">
        <v>843</v>
      </c>
      <c r="G281" s="16" t="s">
        <v>859</v>
      </c>
      <c r="H281" s="9" t="s">
        <v>887</v>
      </c>
    </row>
    <row r="282" spans="1:8" ht="47.25" x14ac:dyDescent="0.25">
      <c r="A282" s="33" t="s">
        <v>602</v>
      </c>
      <c r="B282" s="9" t="s">
        <v>311</v>
      </c>
      <c r="C282" s="10" t="s">
        <v>876</v>
      </c>
      <c r="D282" s="34" t="s">
        <v>694</v>
      </c>
      <c r="E282" s="11" t="s">
        <v>823</v>
      </c>
      <c r="F282" s="9" t="s">
        <v>852</v>
      </c>
      <c r="G282" s="16" t="s">
        <v>857</v>
      </c>
      <c r="H282" s="9" t="s">
        <v>887</v>
      </c>
    </row>
    <row r="283" spans="1:8" ht="31.5" x14ac:dyDescent="0.25">
      <c r="A283" s="33" t="s">
        <v>603</v>
      </c>
      <c r="B283" s="9" t="s">
        <v>312</v>
      </c>
      <c r="C283" s="10" t="s">
        <v>864</v>
      </c>
      <c r="D283" s="16"/>
      <c r="E283" s="11" t="s">
        <v>841</v>
      </c>
      <c r="F283" s="9"/>
      <c r="G283" s="17" t="s">
        <v>861</v>
      </c>
      <c r="H283" s="14" t="s">
        <v>887</v>
      </c>
    </row>
    <row r="284" spans="1:8" ht="15.75" x14ac:dyDescent="0.25">
      <c r="A284" s="33" t="s">
        <v>604</v>
      </c>
      <c r="B284" s="9" t="s">
        <v>313</v>
      </c>
      <c r="C284" s="16" t="s">
        <v>864</v>
      </c>
      <c r="D284" s="16" t="s">
        <v>696</v>
      </c>
      <c r="E284" s="16" t="s">
        <v>696</v>
      </c>
      <c r="F284" s="9" t="s">
        <v>843</v>
      </c>
      <c r="G284" s="16" t="s">
        <v>858</v>
      </c>
      <c r="H284" s="14" t="s">
        <v>888</v>
      </c>
    </row>
    <row r="285" spans="1:8" ht="31.5" x14ac:dyDescent="0.25">
      <c r="A285" s="33" t="s">
        <v>605</v>
      </c>
      <c r="B285" s="9" t="s">
        <v>314</v>
      </c>
      <c r="C285" s="10" t="s">
        <v>867</v>
      </c>
      <c r="D285" s="28" t="s">
        <v>764</v>
      </c>
      <c r="E285" s="16" t="s">
        <v>780</v>
      </c>
      <c r="F285" s="9" t="s">
        <v>844</v>
      </c>
      <c r="G285" s="16" t="s">
        <v>863</v>
      </c>
      <c r="H285" s="14" t="s">
        <v>887</v>
      </c>
    </row>
    <row r="286" spans="1:8" ht="15.75" x14ac:dyDescent="0.25">
      <c r="A286" s="33" t="s">
        <v>681</v>
      </c>
      <c r="B286" s="9" t="s">
        <v>315</v>
      </c>
      <c r="C286" s="10" t="s">
        <v>864</v>
      </c>
      <c r="D286" s="28"/>
      <c r="E286" s="16"/>
      <c r="F286" s="9"/>
      <c r="G286" s="16" t="s">
        <v>855</v>
      </c>
      <c r="H286" s="14" t="s">
        <v>855</v>
      </c>
    </row>
    <row r="287" spans="1:8" ht="15.75" x14ac:dyDescent="0.25">
      <c r="A287" s="33" t="s">
        <v>607</v>
      </c>
      <c r="B287" s="9" t="s">
        <v>316</v>
      </c>
      <c r="C287" s="10" t="s">
        <v>864</v>
      </c>
      <c r="D287" s="28" t="s">
        <v>765</v>
      </c>
      <c r="E287" s="16" t="s">
        <v>765</v>
      </c>
      <c r="F287" s="9" t="s">
        <v>843</v>
      </c>
      <c r="G287" s="16" t="s">
        <v>862</v>
      </c>
      <c r="H287" s="14" t="s">
        <v>888</v>
      </c>
    </row>
    <row r="288" spans="1:8" ht="15.75" x14ac:dyDescent="0.25">
      <c r="A288" s="33" t="s">
        <v>608</v>
      </c>
      <c r="B288" s="9" t="s">
        <v>317</v>
      </c>
      <c r="C288" s="10" t="s">
        <v>865</v>
      </c>
      <c r="D288" s="28" t="s">
        <v>1463</v>
      </c>
      <c r="E288" s="11" t="s">
        <v>767</v>
      </c>
      <c r="F288" s="9"/>
      <c r="G288" s="16" t="s">
        <v>911</v>
      </c>
      <c r="H288" s="14" t="s">
        <v>1464</v>
      </c>
    </row>
    <row r="289" spans="1:8" ht="15.75" x14ac:dyDescent="0.25">
      <c r="A289" s="33" t="s">
        <v>609</v>
      </c>
      <c r="B289" s="9" t="s">
        <v>318</v>
      </c>
      <c r="C289" s="10" t="s">
        <v>865</v>
      </c>
      <c r="D289" s="28" t="s">
        <v>1465</v>
      </c>
      <c r="E289" s="11" t="s">
        <v>767</v>
      </c>
      <c r="F289" s="9"/>
      <c r="G289" s="16" t="s">
        <v>911</v>
      </c>
      <c r="H289" s="14" t="s">
        <v>1464</v>
      </c>
    </row>
    <row r="290" spans="1:8" ht="15.75" x14ac:dyDescent="0.25">
      <c r="A290" s="33" t="s">
        <v>1466</v>
      </c>
      <c r="B290" s="9" t="s">
        <v>319</v>
      </c>
      <c r="C290" s="10" t="s">
        <v>865</v>
      </c>
      <c r="D290" s="28" t="s">
        <v>1467</v>
      </c>
      <c r="E290" s="11" t="s">
        <v>767</v>
      </c>
      <c r="F290" s="9"/>
      <c r="G290" s="16" t="s">
        <v>911</v>
      </c>
      <c r="H290" s="14" t="s">
        <v>1464</v>
      </c>
    </row>
    <row r="291" spans="1:8" ht="31.5" x14ac:dyDescent="0.25">
      <c r="A291" s="33" t="s">
        <v>1468</v>
      </c>
      <c r="B291" s="9" t="s">
        <v>320</v>
      </c>
      <c r="C291" s="10" t="s">
        <v>866</v>
      </c>
      <c r="D291" s="28" t="s">
        <v>768</v>
      </c>
      <c r="E291" s="16"/>
      <c r="F291" s="9"/>
      <c r="G291" s="16" t="s">
        <v>620</v>
      </c>
      <c r="H291" s="14" t="s">
        <v>1464</v>
      </c>
    </row>
    <row r="292" spans="1:8" ht="15.75" x14ac:dyDescent="0.25">
      <c r="A292" s="33" t="s">
        <v>612</v>
      </c>
      <c r="B292" s="9" t="s">
        <v>321</v>
      </c>
      <c r="C292" s="10" t="s">
        <v>867</v>
      </c>
      <c r="D292" s="28" t="s">
        <v>1469</v>
      </c>
      <c r="E292" s="16"/>
      <c r="F292" s="9"/>
      <c r="G292" s="16" t="s">
        <v>937</v>
      </c>
      <c r="H292" s="14" t="s">
        <v>1464</v>
      </c>
    </row>
    <row r="293" spans="1:8" ht="15.75" x14ac:dyDescent="0.25">
      <c r="A293" s="33" t="s">
        <v>613</v>
      </c>
      <c r="B293" s="9" t="s">
        <v>322</v>
      </c>
      <c r="C293" s="10" t="s">
        <v>867</v>
      </c>
      <c r="D293" s="28" t="s">
        <v>1066</v>
      </c>
      <c r="E293" s="16"/>
      <c r="F293" s="9"/>
      <c r="G293" s="16" t="s">
        <v>1067</v>
      </c>
      <c r="H293" s="14" t="s">
        <v>1464</v>
      </c>
    </row>
    <row r="294" spans="1:8" ht="15.75" x14ac:dyDescent="0.25">
      <c r="A294" s="33" t="s">
        <v>614</v>
      </c>
      <c r="B294" s="9" t="s">
        <v>323</v>
      </c>
      <c r="C294" s="10" t="s">
        <v>865</v>
      </c>
      <c r="D294" s="28" t="s">
        <v>1463</v>
      </c>
      <c r="E294" s="11" t="s">
        <v>767</v>
      </c>
      <c r="F294" s="9"/>
      <c r="G294" s="16" t="s">
        <v>911</v>
      </c>
      <c r="H294" s="14" t="s">
        <v>1464</v>
      </c>
    </row>
    <row r="295" spans="1:8" ht="15.75" x14ac:dyDescent="0.25">
      <c r="A295" s="33" t="s">
        <v>1470</v>
      </c>
      <c r="B295" s="9" t="s">
        <v>1072</v>
      </c>
      <c r="C295" s="10" t="s">
        <v>885</v>
      </c>
      <c r="D295" s="28" t="s">
        <v>1471</v>
      </c>
      <c r="E295" s="16"/>
      <c r="F295" s="9"/>
      <c r="G295" s="16" t="s">
        <v>1472</v>
      </c>
      <c r="H295" s="14" t="s">
        <v>1464</v>
      </c>
    </row>
    <row r="296" spans="1:8" ht="15.75" x14ac:dyDescent="0.25">
      <c r="A296" s="33" t="s">
        <v>1070</v>
      </c>
      <c r="B296" s="9" t="s">
        <v>1073</v>
      </c>
      <c r="C296" s="10"/>
      <c r="D296" s="28"/>
      <c r="E296" s="16"/>
      <c r="F296" s="9"/>
      <c r="G296" s="16"/>
      <c r="H296" s="14"/>
    </row>
    <row r="297" spans="1:8" ht="15.75" x14ac:dyDescent="0.25">
      <c r="A297" s="33" t="s">
        <v>1473</v>
      </c>
      <c r="B297" s="9" t="s">
        <v>1074</v>
      </c>
      <c r="C297" s="10" t="s">
        <v>864</v>
      </c>
      <c r="D297" s="28" t="s">
        <v>765</v>
      </c>
      <c r="E297" s="28" t="s">
        <v>765</v>
      </c>
      <c r="F297" s="9"/>
      <c r="G297" s="16" t="s">
        <v>893</v>
      </c>
      <c r="H297" s="14" t="s">
        <v>888</v>
      </c>
    </row>
    <row r="298" spans="1:8" ht="15.75" x14ac:dyDescent="0.25">
      <c r="A298" s="33" t="s">
        <v>1247</v>
      </c>
      <c r="B298" s="9" t="s">
        <v>1238</v>
      </c>
      <c r="C298" s="10" t="s">
        <v>869</v>
      </c>
      <c r="D298" s="28" t="s">
        <v>1471</v>
      </c>
      <c r="E298" s="16"/>
      <c r="F298" s="9"/>
      <c r="G298" s="16" t="s">
        <v>1472</v>
      </c>
      <c r="H298" s="14" t="s">
        <v>1464</v>
      </c>
    </row>
    <row r="299" spans="1:8" ht="31.5" x14ac:dyDescent="0.25">
      <c r="A299" s="33" t="s">
        <v>1248</v>
      </c>
      <c r="B299" s="9" t="s">
        <v>1239</v>
      </c>
      <c r="C299" s="10" t="s">
        <v>865</v>
      </c>
      <c r="D299" s="28" t="s">
        <v>1474</v>
      </c>
      <c r="E299" s="11" t="s">
        <v>767</v>
      </c>
      <c r="F299" s="9"/>
      <c r="G299" s="16" t="s">
        <v>911</v>
      </c>
      <c r="H299" s="14" t="s">
        <v>1464</v>
      </c>
    </row>
    <row r="300" spans="1:8" s="40" customFormat="1" ht="47.25" x14ac:dyDescent="0.25">
      <c r="A300" s="28" t="s">
        <v>1249</v>
      </c>
      <c r="B300" s="38" t="s">
        <v>1240</v>
      </c>
      <c r="C300" s="38"/>
      <c r="D300" s="28" t="s">
        <v>1475</v>
      </c>
      <c r="E300" s="28"/>
      <c r="F300" s="38"/>
      <c r="G300" s="28" t="s">
        <v>1476</v>
      </c>
      <c r="H300" s="39" t="s">
        <v>1464</v>
      </c>
    </row>
    <row r="301" spans="1:8" ht="15.75" x14ac:dyDescent="0.25">
      <c r="A301" s="33" t="s">
        <v>1250</v>
      </c>
      <c r="B301" s="9" t="s">
        <v>1241</v>
      </c>
      <c r="C301" s="10" t="s">
        <v>884</v>
      </c>
      <c r="D301" s="28"/>
      <c r="E301" s="16"/>
      <c r="F301" s="9"/>
      <c r="G301" s="17" t="s">
        <v>859</v>
      </c>
      <c r="H301" s="14" t="s">
        <v>887</v>
      </c>
    </row>
    <row r="302" spans="1:8" ht="31.5" x14ac:dyDescent="0.25">
      <c r="A302" s="33" t="s">
        <v>1477</v>
      </c>
      <c r="B302" s="9" t="s">
        <v>1242</v>
      </c>
      <c r="C302" s="10"/>
      <c r="D302" s="28" t="s">
        <v>1478</v>
      </c>
      <c r="E302" s="16" t="s">
        <v>697</v>
      </c>
      <c r="F302" s="9"/>
      <c r="G302" s="16" t="s">
        <v>911</v>
      </c>
      <c r="H302" s="14" t="s">
        <v>1464</v>
      </c>
    </row>
    <row r="303" spans="1:8" ht="15.75" x14ac:dyDescent="0.25">
      <c r="A303" s="33" t="s">
        <v>1479</v>
      </c>
      <c r="B303" s="9" t="s">
        <v>1243</v>
      </c>
      <c r="C303" s="10" t="s">
        <v>883</v>
      </c>
      <c r="D303" s="28" t="s">
        <v>1480</v>
      </c>
      <c r="E303" s="16" t="s">
        <v>827</v>
      </c>
      <c r="F303" s="9"/>
      <c r="G303" s="16" t="s">
        <v>911</v>
      </c>
      <c r="H303" s="14" t="s">
        <v>1464</v>
      </c>
    </row>
    <row r="304" spans="1:8" ht="15.75" x14ac:dyDescent="0.25">
      <c r="A304" s="33" t="s">
        <v>1253</v>
      </c>
      <c r="B304" s="9" t="s">
        <v>1244</v>
      </c>
      <c r="C304" s="10" t="s">
        <v>870</v>
      </c>
      <c r="D304" s="28" t="s">
        <v>1480</v>
      </c>
      <c r="E304" s="28" t="s">
        <v>1480</v>
      </c>
      <c r="F304" s="9"/>
      <c r="G304" s="16" t="s">
        <v>911</v>
      </c>
      <c r="H304" s="14" t="s">
        <v>1464</v>
      </c>
    </row>
    <row r="305" spans="1:8" ht="47.25" x14ac:dyDescent="0.25">
      <c r="A305" s="33" t="s">
        <v>1481</v>
      </c>
      <c r="B305" s="9" t="s">
        <v>1245</v>
      </c>
      <c r="C305" s="10"/>
      <c r="D305" s="28"/>
      <c r="E305" s="28" t="s">
        <v>839</v>
      </c>
      <c r="F305" s="9"/>
      <c r="G305" s="16" t="s">
        <v>892</v>
      </c>
      <c r="H305" s="14" t="s">
        <v>1464</v>
      </c>
    </row>
    <row r="306" spans="1:8" x14ac:dyDescent="0.25">
      <c r="A306" s="41" t="s">
        <v>1255</v>
      </c>
      <c r="B306" s="42" t="s">
        <v>1246</v>
      </c>
      <c r="C306" s="43"/>
      <c r="D306" s="44" t="s">
        <v>794</v>
      </c>
      <c r="E306" s="44" t="s">
        <v>794</v>
      </c>
      <c r="F306" s="43"/>
      <c r="G306" s="43" t="e">
        <f>VLOOKUP(B306,#REF!,7,FALSE)</f>
        <v>#REF!</v>
      </c>
      <c r="H306" s="43" t="e">
        <f>VLOOKUP(B306,#REF!,13,FALSE)</f>
        <v>#REF!</v>
      </c>
    </row>
    <row r="307" spans="1:8" x14ac:dyDescent="0.25">
      <c r="A307" s="45" t="s">
        <v>1268</v>
      </c>
      <c r="B307" s="42" t="s">
        <v>1256</v>
      </c>
      <c r="D307" s="44" t="s">
        <v>765</v>
      </c>
      <c r="E307" s="44" t="s">
        <v>765</v>
      </c>
      <c r="G307" s="43" t="e">
        <f>VLOOKUP(B307,#REF!,7,FALSE)</f>
        <v>#REF!</v>
      </c>
      <c r="H307" s="43" t="e">
        <f>VLOOKUP(B307,#REF!,13,FALSE)</f>
        <v>#REF!</v>
      </c>
    </row>
    <row r="308" spans="1:8" x14ac:dyDescent="0.25">
      <c r="A308" s="41" t="s">
        <v>1269</v>
      </c>
      <c r="B308" s="41" t="s">
        <v>1257</v>
      </c>
      <c r="D308" s="44" t="s">
        <v>697</v>
      </c>
      <c r="E308" s="44" t="s">
        <v>697</v>
      </c>
      <c r="G308" s="43" t="e">
        <f>VLOOKUP(B308,#REF!,7,FALSE)</f>
        <v>#REF!</v>
      </c>
      <c r="H308" s="43" t="e">
        <f>VLOOKUP(B308,#REF!,13,FALSE)</f>
        <v>#REF!</v>
      </c>
    </row>
    <row r="309" spans="1:8" ht="30" x14ac:dyDescent="0.25">
      <c r="A309" s="46" t="s">
        <v>1270</v>
      </c>
      <c r="B309" s="43" t="s">
        <v>1258</v>
      </c>
      <c r="D309" s="44" t="s">
        <v>785</v>
      </c>
      <c r="E309" s="44" t="s">
        <v>785</v>
      </c>
      <c r="G309" s="43" t="e">
        <f>VLOOKUP(B309,#REF!,7,FALSE)</f>
        <v>#REF!</v>
      </c>
      <c r="H309" s="43" t="e">
        <f>VLOOKUP(B309,#REF!,13,FALSE)</f>
        <v>#REF!</v>
      </c>
    </row>
    <row r="310" spans="1:8" ht="47.25" x14ac:dyDescent="0.25">
      <c r="A310" s="33" t="s">
        <v>1482</v>
      </c>
      <c r="B310" s="8" t="s">
        <v>1259</v>
      </c>
      <c r="C310" s="47"/>
      <c r="D310" s="44" t="e">
        <f>VLOOKUP(B310,#REF!,6,FALSE)</f>
        <v>#REF!</v>
      </c>
      <c r="E310" s="44" t="s">
        <v>1483</v>
      </c>
      <c r="F310" s="48"/>
      <c r="G310" s="43" t="e">
        <f>VLOOKUP(B310,#REF!,7,FALSE)</f>
        <v>#REF!</v>
      </c>
      <c r="H310" s="43"/>
    </row>
    <row r="311" spans="1:8" ht="25.5" x14ac:dyDescent="0.25">
      <c r="A311" s="41" t="s">
        <v>1272</v>
      </c>
      <c r="B311" s="41" t="s">
        <v>1260</v>
      </c>
      <c r="D311" s="44" t="e">
        <f>VLOOKUP(B311,#REF!,6,FALSE)</f>
        <v>#REF!</v>
      </c>
      <c r="E311" s="44" t="s">
        <v>1484</v>
      </c>
      <c r="G311" s="43" t="e">
        <f>VLOOKUP(B311,#REF!,7,FALSE)</f>
        <v>#REF!</v>
      </c>
      <c r="H311" s="43" t="e">
        <f>VLOOKUP(B311,#REF!,13,FALSE)</f>
        <v>#REF!</v>
      </c>
    </row>
    <row r="312" spans="1:8" ht="38.25" x14ac:dyDescent="0.25">
      <c r="A312" s="41" t="s">
        <v>1273</v>
      </c>
      <c r="B312" s="41" t="s">
        <v>1261</v>
      </c>
      <c r="D312" s="44" t="e">
        <f>VLOOKUP(B312,#REF!,6,FALSE)</f>
        <v>#REF!</v>
      </c>
      <c r="E312" s="44" t="s">
        <v>1485</v>
      </c>
      <c r="G312" s="43" t="e">
        <f>VLOOKUP(B312,#REF!,7,FALSE)</f>
        <v>#REF!</v>
      </c>
      <c r="H312" s="43" t="e">
        <f>VLOOKUP(B312,#REF!,13,FALSE)</f>
        <v>#REF!</v>
      </c>
    </row>
    <row r="313" spans="1:8" x14ac:dyDescent="0.25">
      <c r="A313" s="49" t="s">
        <v>1274</v>
      </c>
      <c r="B313" s="50" t="s">
        <v>1262</v>
      </c>
      <c r="D313" s="44" t="e">
        <f>VLOOKUP(B313,#REF!,6,FALSE)</f>
        <v>#REF!</v>
      </c>
      <c r="E313" s="44"/>
      <c r="G313" s="43" t="e">
        <f>VLOOKUP(B313,#REF!,7,FALSE)</f>
        <v>#REF!</v>
      </c>
      <c r="H313" s="43" t="e">
        <f>VLOOKUP(B313,#REF!,13,FALSE)</f>
        <v>#REF!</v>
      </c>
    </row>
    <row r="314" spans="1:8" x14ac:dyDescent="0.25">
      <c r="A314" s="41" t="s">
        <v>1275</v>
      </c>
      <c r="B314" s="41" t="s">
        <v>1263</v>
      </c>
      <c r="D314" s="44" t="e">
        <f>VLOOKUP(B314,#REF!,6,FALSE)</f>
        <v>#REF!</v>
      </c>
      <c r="E314" s="44" t="s">
        <v>1480</v>
      </c>
      <c r="G314" s="43" t="e">
        <f>VLOOKUP(B314,#REF!,7,FALSE)</f>
        <v>#REF!</v>
      </c>
      <c r="H314" s="43" t="e">
        <f>VLOOKUP(B314,#REF!,13,FALSE)</f>
        <v>#REF!</v>
      </c>
    </row>
    <row r="315" spans="1:8" x14ac:dyDescent="0.25">
      <c r="A315" s="41" t="s">
        <v>1276</v>
      </c>
      <c r="B315" s="41" t="s">
        <v>1264</v>
      </c>
      <c r="D315" s="44" t="e">
        <f>VLOOKUP(B315,#REF!,6,FALSE)</f>
        <v>#REF!</v>
      </c>
      <c r="E315" s="44" t="s">
        <v>1480</v>
      </c>
      <c r="G315" s="43" t="e">
        <f>VLOOKUP(B315,#REF!,7,FALSE)</f>
        <v>#REF!</v>
      </c>
      <c r="H315" s="43" t="e">
        <f>VLOOKUP(B315,#REF!,13,FALSE)</f>
        <v>#REF!</v>
      </c>
    </row>
    <row r="316" spans="1:8" x14ac:dyDescent="0.25">
      <c r="A316" s="41" t="s">
        <v>1277</v>
      </c>
      <c r="B316" s="41" t="s">
        <v>1265</v>
      </c>
      <c r="D316" s="44" t="e">
        <f>VLOOKUP(B316,#REF!,6,FALSE)</f>
        <v>#REF!</v>
      </c>
      <c r="E316" s="44"/>
      <c r="G316" s="43" t="e">
        <f>VLOOKUP(B316,#REF!,7,FALSE)</f>
        <v>#REF!</v>
      </c>
      <c r="H316" s="43" t="e">
        <f>VLOOKUP(B316,#REF!,13,FALSE)</f>
        <v>#REF!</v>
      </c>
    </row>
    <row r="317" spans="1:8" x14ac:dyDescent="0.25">
      <c r="A317" s="43" t="s">
        <v>1278</v>
      </c>
      <c r="B317" s="51" t="s">
        <v>1266</v>
      </c>
      <c r="C317" t="s">
        <v>867</v>
      </c>
      <c r="E317" s="44" t="e">
        <f>VLOOKUP(B317,#REF!,6,FALSE)</f>
        <v>#REF!</v>
      </c>
      <c r="G317" s="43" t="e">
        <f>VLOOKUP(B317,#REF!,7,FALSE)</f>
        <v>#REF!</v>
      </c>
      <c r="H317" s="43" t="e">
        <f>VLOOKUP(B317,#REF!,13,FALSE)</f>
        <v>#REF!</v>
      </c>
    </row>
    <row r="318" spans="1:8" x14ac:dyDescent="0.25">
      <c r="A318" s="41" t="s">
        <v>1279</v>
      </c>
      <c r="B318" s="41" t="s">
        <v>1267</v>
      </c>
      <c r="D318" s="44" t="e">
        <f>VLOOKUP(B318,#REF!,6,FALSE)</f>
        <v>#REF!</v>
      </c>
      <c r="E318" s="44"/>
      <c r="G318" s="43" t="e">
        <f>VLOOKUP(B318,#REF!,7,FALSE)</f>
        <v>#REF!</v>
      </c>
      <c r="H318" s="43"/>
    </row>
    <row r="319" spans="1:8" ht="30" x14ac:dyDescent="0.25">
      <c r="A319" s="44" t="s">
        <v>1280</v>
      </c>
      <c r="B319" s="46" t="s">
        <v>1486</v>
      </c>
      <c r="C319" t="s">
        <v>864</v>
      </c>
      <c r="E319" s="44" t="e">
        <f>VLOOKUP(B319,#REF!,6,FALSE)</f>
        <v>#REF!</v>
      </c>
      <c r="G319" s="43" t="e">
        <f>VLOOKUP(B319,#REF!,7,FALSE)</f>
        <v>#REF!</v>
      </c>
      <c r="H319" s="43" t="e">
        <f>VLOOKUP(B319,#REF!,13,FALSE)</f>
        <v>#REF!</v>
      </c>
    </row>
    <row r="320" spans="1:8" ht="25.5" x14ac:dyDescent="0.25">
      <c r="A320" s="41" t="s">
        <v>1281</v>
      </c>
      <c r="B320" s="41" t="s">
        <v>1487</v>
      </c>
      <c r="C320" t="s">
        <v>864</v>
      </c>
      <c r="D320" s="44" t="e">
        <f>VLOOKUP(B320,#REF!,6,FALSE)</f>
        <v>#REF!</v>
      </c>
      <c r="E320" s="44"/>
      <c r="G320" s="43" t="e">
        <f>VLOOKUP(B320,#REF!,7,FALSE)</f>
        <v>#REF!</v>
      </c>
      <c r="H320" s="43" t="e">
        <f>VLOOKUP(B320,#REF!,13,FALSE)</f>
        <v>#REF!</v>
      </c>
    </row>
  </sheetData>
  <conditionalFormatting sqref="A1">
    <cfRule type="duplicateValues" dxfId="53" priority="45"/>
    <cfRule type="duplicateValues" dxfId="52" priority="46"/>
  </conditionalFormatting>
  <conditionalFormatting sqref="A2:A132">
    <cfRule type="duplicateValues" dxfId="51" priority="44"/>
  </conditionalFormatting>
  <conditionalFormatting sqref="A2:A196 A198:A265">
    <cfRule type="duplicateValues" dxfId="50" priority="43"/>
  </conditionalFormatting>
  <conditionalFormatting sqref="A307">
    <cfRule type="duplicateValues" dxfId="49" priority="10"/>
    <cfRule type="duplicateValues" dxfId="48" priority="11"/>
  </conditionalFormatting>
  <conditionalFormatting sqref="A308:A312">
    <cfRule type="duplicateValues" dxfId="47" priority="12"/>
    <cfRule type="duplicateValues" dxfId="46" priority="13"/>
  </conditionalFormatting>
  <conditionalFormatting sqref="A317">
    <cfRule type="duplicateValues" dxfId="45" priority="4"/>
    <cfRule type="duplicateValues" dxfId="44" priority="5"/>
  </conditionalFormatting>
  <conditionalFormatting sqref="A318">
    <cfRule type="duplicateValues" dxfId="43" priority="6"/>
    <cfRule type="duplicateValues" dxfId="42" priority="7"/>
  </conditionalFormatting>
  <conditionalFormatting sqref="A319:A320">
    <cfRule type="duplicateValues" dxfId="41" priority="8"/>
    <cfRule type="duplicateValues" dxfId="40" priority="9"/>
  </conditionalFormatting>
  <conditionalFormatting sqref="B1">
    <cfRule type="duplicateValues" dxfId="39" priority="47"/>
  </conditionalFormatting>
  <conditionalFormatting sqref="B2:B265">
    <cfRule type="duplicateValues" dxfId="38" priority="39"/>
  </conditionalFormatting>
  <conditionalFormatting sqref="B2:B285">
    <cfRule type="duplicateValues" dxfId="37" priority="38"/>
  </conditionalFormatting>
  <conditionalFormatting sqref="B131">
    <cfRule type="duplicateValues" dxfId="36" priority="40"/>
    <cfRule type="duplicateValues" dxfId="35" priority="41"/>
  </conditionalFormatting>
  <conditionalFormatting sqref="B266:B285">
    <cfRule type="duplicateValues" dxfId="34" priority="42"/>
  </conditionalFormatting>
  <conditionalFormatting sqref="B286">
    <cfRule type="duplicateValues" dxfId="33" priority="36"/>
    <cfRule type="duplicateValues" dxfId="32" priority="37"/>
  </conditionalFormatting>
  <conditionalFormatting sqref="B287">
    <cfRule type="duplicateValues" dxfId="31" priority="34"/>
    <cfRule type="duplicateValues" dxfId="30" priority="35"/>
  </conditionalFormatting>
  <conditionalFormatting sqref="B288">
    <cfRule type="duplicateValues" dxfId="29" priority="32"/>
    <cfRule type="duplicateValues" dxfId="28" priority="33"/>
  </conditionalFormatting>
  <conditionalFormatting sqref="B289">
    <cfRule type="duplicateValues" dxfId="27" priority="30"/>
    <cfRule type="duplicateValues" dxfId="26" priority="31"/>
  </conditionalFormatting>
  <conditionalFormatting sqref="B290">
    <cfRule type="duplicateValues" dxfId="25" priority="28"/>
    <cfRule type="duplicateValues" dxfId="24" priority="29"/>
  </conditionalFormatting>
  <conditionalFormatting sqref="B291:B306">
    <cfRule type="duplicateValues" dxfId="23" priority="26"/>
    <cfRule type="duplicateValues" dxfId="22" priority="27"/>
  </conditionalFormatting>
  <conditionalFormatting sqref="B307:B313">
    <cfRule type="duplicateValues" dxfId="21" priority="20"/>
    <cfRule type="duplicateValues" dxfId="20" priority="21"/>
    <cfRule type="duplicateValues" dxfId="19" priority="22"/>
  </conditionalFormatting>
  <conditionalFormatting sqref="B313">
    <cfRule type="duplicateValues" dxfId="18" priority="23"/>
    <cfRule type="duplicateValues" dxfId="17" priority="24"/>
    <cfRule type="duplicateValues" dxfId="16" priority="25"/>
  </conditionalFormatting>
  <conditionalFormatting sqref="B314:B316">
    <cfRule type="duplicateValues" dxfId="15" priority="14"/>
    <cfRule type="duplicateValues" dxfId="14" priority="15"/>
    <cfRule type="duplicateValues" dxfId="13" priority="16"/>
    <cfRule type="duplicateValues" dxfId="12" priority="17"/>
    <cfRule type="duplicateValues" dxfId="11" priority="18"/>
    <cfRule type="duplicateValues" dxfId="10" priority="19"/>
  </conditionalFormatting>
  <conditionalFormatting sqref="B317:B320">
    <cfRule type="duplicateValues" dxfId="9" priority="1"/>
    <cfRule type="duplicateValues" dxfId="8" priority="2"/>
    <cfRule type="duplicateValues" dxfId="7" priority="3"/>
  </conditionalFormatting>
  <dataValidations count="1">
    <dataValidation type="list" allowBlank="1" showErrorMessage="1" sqref="H290:H291 H294:H300 H302:H305">
      <formula1>"PMU/PMC,TPI/TPA/TPE,Others"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PPID Project</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2025-12-15T10:37:12Z</dcterms:modified>
</cp:coreProperties>
</file>